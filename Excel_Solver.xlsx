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ama365-my.sharepoint.com/personal/mewallace6_crimson_ua_edu/Documents/"/>
    </mc:Choice>
  </mc:AlternateContent>
  <xr:revisionPtr revIDLastSave="6" documentId="8_{5E9668C0-9C6B-4952-8AB2-1BE7AB382620}" xr6:coauthVersionLast="47" xr6:coauthVersionMax="47" xr10:uidLastSave="{75DF5D3D-A42A-4FCD-84A3-489FEB0E34E7}"/>
  <bookViews>
    <workbookView xWindow="3730" yWindow="670" windowWidth="21150" windowHeight="14610" activeTab="1" xr2:uid="{BD07B440-1C1C-4CFE-A59D-C9DB0080C75B}"/>
  </bookViews>
  <sheets>
    <sheet name="Data" sheetId="1" r:id="rId1"/>
    <sheet name="Graphs" sheetId="2" r:id="rId2"/>
  </sheets>
  <definedNames>
    <definedName name="solver_adj" localSheetId="0" hidden="1">Data!$O$140:$O$151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Data!$N$151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rxv" localSheetId="0" hidden="1">1</definedName>
    <definedName name="solver_rxv18" localSheetId="0" hidden="1">1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C22" i="1"/>
  <c r="C40" i="1"/>
  <c r="C41" i="1"/>
  <c r="C42" i="1"/>
  <c r="S131" i="1" s="1"/>
  <c r="C34" i="1"/>
  <c r="C31" i="1"/>
  <c r="C32" i="1"/>
  <c r="M87" i="1"/>
  <c r="G12" i="1"/>
  <c r="M12" i="1" s="1"/>
  <c r="G13" i="1"/>
  <c r="M13" i="1" s="1"/>
  <c r="G14" i="1"/>
  <c r="M14" i="1" s="1"/>
  <c r="G15" i="1"/>
  <c r="M15" i="1" s="1"/>
  <c r="G16" i="1"/>
  <c r="M16" i="1" s="1"/>
  <c r="G17" i="1"/>
  <c r="M17" i="1" s="1"/>
  <c r="G18" i="1"/>
  <c r="M18" i="1" s="1"/>
  <c r="G19" i="1"/>
  <c r="M19" i="1" s="1"/>
  <c r="G20" i="1"/>
  <c r="M20" i="1" s="1"/>
  <c r="G21" i="1"/>
  <c r="M21" i="1" s="1"/>
  <c r="G22" i="1"/>
  <c r="M22" i="1" s="1"/>
  <c r="G23" i="1"/>
  <c r="M23" i="1" s="1"/>
  <c r="G24" i="1"/>
  <c r="M24" i="1" s="1"/>
  <c r="G25" i="1"/>
  <c r="M25" i="1" s="1"/>
  <c r="G26" i="1"/>
  <c r="M26" i="1" s="1"/>
  <c r="G27" i="1"/>
  <c r="M27" i="1" s="1"/>
  <c r="G28" i="1"/>
  <c r="M28" i="1" s="1"/>
  <c r="G29" i="1"/>
  <c r="M29" i="1" s="1"/>
  <c r="G30" i="1"/>
  <c r="M30" i="1" s="1"/>
  <c r="G31" i="1"/>
  <c r="M31" i="1" s="1"/>
  <c r="G32" i="1"/>
  <c r="M32" i="1" s="1"/>
  <c r="G33" i="1"/>
  <c r="M33" i="1" s="1"/>
  <c r="G34" i="1"/>
  <c r="M34" i="1" s="1"/>
  <c r="G35" i="1"/>
  <c r="M35" i="1" s="1"/>
  <c r="G36" i="1"/>
  <c r="M36" i="1" s="1"/>
  <c r="G37" i="1"/>
  <c r="M37" i="1" s="1"/>
  <c r="G38" i="1"/>
  <c r="M38" i="1" s="1"/>
  <c r="G39" i="1"/>
  <c r="M39" i="1" s="1"/>
  <c r="G40" i="1"/>
  <c r="M40" i="1" s="1"/>
  <c r="G41" i="1"/>
  <c r="M41" i="1" s="1"/>
  <c r="G42" i="1"/>
  <c r="M42" i="1" s="1"/>
  <c r="G43" i="1"/>
  <c r="M43" i="1" s="1"/>
  <c r="G44" i="1"/>
  <c r="M44" i="1" s="1"/>
  <c r="G45" i="1"/>
  <c r="M45" i="1" s="1"/>
  <c r="G46" i="1"/>
  <c r="M46" i="1" s="1"/>
  <c r="G47" i="1"/>
  <c r="M47" i="1" s="1"/>
  <c r="G48" i="1"/>
  <c r="M48" i="1" s="1"/>
  <c r="G49" i="1"/>
  <c r="M49" i="1" s="1"/>
  <c r="G50" i="1"/>
  <c r="M50" i="1" s="1"/>
  <c r="G51" i="1"/>
  <c r="M51" i="1" s="1"/>
  <c r="G52" i="1"/>
  <c r="M52" i="1" s="1"/>
  <c r="G53" i="1"/>
  <c r="M53" i="1" s="1"/>
  <c r="G54" i="1"/>
  <c r="M54" i="1" s="1"/>
  <c r="G55" i="1"/>
  <c r="M55" i="1" s="1"/>
  <c r="G56" i="1"/>
  <c r="M56" i="1" s="1"/>
  <c r="G57" i="1"/>
  <c r="M57" i="1" s="1"/>
  <c r="G58" i="1"/>
  <c r="M58" i="1" s="1"/>
  <c r="G59" i="1"/>
  <c r="M59" i="1" s="1"/>
  <c r="G60" i="1"/>
  <c r="M60" i="1" s="1"/>
  <c r="G61" i="1"/>
  <c r="M61" i="1" s="1"/>
  <c r="G62" i="1"/>
  <c r="M62" i="1" s="1"/>
  <c r="G63" i="1"/>
  <c r="M63" i="1" s="1"/>
  <c r="G64" i="1"/>
  <c r="M64" i="1" s="1"/>
  <c r="G65" i="1"/>
  <c r="M65" i="1" s="1"/>
  <c r="G66" i="1"/>
  <c r="M66" i="1" s="1"/>
  <c r="G67" i="1"/>
  <c r="M67" i="1" s="1"/>
  <c r="G68" i="1"/>
  <c r="M68" i="1" s="1"/>
  <c r="G69" i="1"/>
  <c r="M69" i="1" s="1"/>
  <c r="G70" i="1"/>
  <c r="M70" i="1" s="1"/>
  <c r="G71" i="1"/>
  <c r="M71" i="1" s="1"/>
  <c r="G72" i="1"/>
  <c r="M72" i="1" s="1"/>
  <c r="G73" i="1"/>
  <c r="M73" i="1" s="1"/>
  <c r="G74" i="1"/>
  <c r="M74" i="1" s="1"/>
  <c r="G75" i="1"/>
  <c r="M75" i="1" s="1"/>
  <c r="G76" i="1"/>
  <c r="M76" i="1" s="1"/>
  <c r="G77" i="1"/>
  <c r="M77" i="1" s="1"/>
  <c r="G78" i="1"/>
  <c r="M78" i="1" s="1"/>
  <c r="G79" i="1"/>
  <c r="M79" i="1" s="1"/>
  <c r="G80" i="1"/>
  <c r="M80" i="1" s="1"/>
  <c r="G81" i="1"/>
  <c r="M81" i="1" s="1"/>
  <c r="G82" i="1"/>
  <c r="M82" i="1" s="1"/>
  <c r="G83" i="1"/>
  <c r="M83" i="1" s="1"/>
  <c r="G84" i="1"/>
  <c r="M84" i="1" s="1"/>
  <c r="G85" i="1"/>
  <c r="M85" i="1" s="1"/>
  <c r="G86" i="1"/>
  <c r="M86" i="1" s="1"/>
  <c r="G87" i="1"/>
  <c r="G88" i="1"/>
  <c r="M88" i="1" s="1"/>
  <c r="G89" i="1"/>
  <c r="M89" i="1" s="1"/>
  <c r="G90" i="1"/>
  <c r="M90" i="1" s="1"/>
  <c r="G91" i="1"/>
  <c r="M91" i="1" s="1"/>
  <c r="G92" i="1"/>
  <c r="M92" i="1" s="1"/>
  <c r="G93" i="1"/>
  <c r="M93" i="1" s="1"/>
  <c r="G94" i="1"/>
  <c r="M94" i="1" s="1"/>
  <c r="G95" i="1"/>
  <c r="M95" i="1" s="1"/>
  <c r="G96" i="1"/>
  <c r="M96" i="1" s="1"/>
  <c r="G97" i="1"/>
  <c r="M97" i="1" s="1"/>
  <c r="G98" i="1"/>
  <c r="M98" i="1" s="1"/>
  <c r="G99" i="1"/>
  <c r="M99" i="1" s="1"/>
  <c r="G100" i="1"/>
  <c r="M100" i="1" s="1"/>
  <c r="G101" i="1"/>
  <c r="M101" i="1" s="1"/>
  <c r="G102" i="1"/>
  <c r="M102" i="1" s="1"/>
  <c r="G103" i="1"/>
  <c r="M103" i="1" s="1"/>
  <c r="G104" i="1"/>
  <c r="M104" i="1" s="1"/>
  <c r="G105" i="1"/>
  <c r="M105" i="1" s="1"/>
  <c r="G106" i="1"/>
  <c r="M106" i="1" s="1"/>
  <c r="G107" i="1"/>
  <c r="M107" i="1" s="1"/>
  <c r="G108" i="1"/>
  <c r="M108" i="1" s="1"/>
  <c r="G109" i="1"/>
  <c r="M109" i="1" s="1"/>
  <c r="G110" i="1"/>
  <c r="M110" i="1" s="1"/>
  <c r="G111" i="1"/>
  <c r="M111" i="1" s="1"/>
  <c r="G112" i="1"/>
  <c r="M112" i="1" s="1"/>
  <c r="G113" i="1"/>
  <c r="M113" i="1" s="1"/>
  <c r="G114" i="1"/>
  <c r="M114" i="1" s="1"/>
  <c r="G115" i="1"/>
  <c r="M115" i="1" s="1"/>
  <c r="G116" i="1"/>
  <c r="M116" i="1" s="1"/>
  <c r="G117" i="1"/>
  <c r="M117" i="1" s="1"/>
  <c r="G118" i="1"/>
  <c r="M118" i="1" s="1"/>
  <c r="G119" i="1"/>
  <c r="M119" i="1" s="1"/>
  <c r="G120" i="1"/>
  <c r="M120" i="1" s="1"/>
  <c r="G121" i="1"/>
  <c r="M121" i="1" s="1"/>
  <c r="G122" i="1"/>
  <c r="M122" i="1" s="1"/>
  <c r="G123" i="1"/>
  <c r="M123" i="1" s="1"/>
  <c r="G124" i="1"/>
  <c r="M124" i="1" s="1"/>
  <c r="G125" i="1"/>
  <c r="M125" i="1" s="1"/>
  <c r="G126" i="1"/>
  <c r="M126" i="1" s="1"/>
  <c r="G127" i="1"/>
  <c r="M127" i="1" s="1"/>
  <c r="G128" i="1"/>
  <c r="M128" i="1" s="1"/>
  <c r="G129" i="1"/>
  <c r="M129" i="1" s="1"/>
  <c r="G130" i="1"/>
  <c r="M130" i="1" s="1"/>
  <c r="G131" i="1"/>
  <c r="M131" i="1" s="1"/>
  <c r="G132" i="1"/>
  <c r="M132" i="1" s="1"/>
  <c r="G133" i="1"/>
  <c r="M133" i="1" s="1"/>
  <c r="G134" i="1"/>
  <c r="M134" i="1" s="1"/>
  <c r="G135" i="1"/>
  <c r="M135" i="1" s="1"/>
  <c r="G136" i="1"/>
  <c r="M136" i="1" s="1"/>
  <c r="G137" i="1"/>
  <c r="M137" i="1" s="1"/>
  <c r="G138" i="1"/>
  <c r="M138" i="1" s="1"/>
  <c r="G139" i="1"/>
  <c r="M139" i="1" s="1"/>
  <c r="G140" i="1"/>
  <c r="M140" i="1" s="1"/>
  <c r="G141" i="1"/>
  <c r="M141" i="1" s="1"/>
  <c r="G142" i="1"/>
  <c r="M142" i="1" s="1"/>
  <c r="G143" i="1"/>
  <c r="M143" i="1" s="1"/>
  <c r="G144" i="1"/>
  <c r="M144" i="1" s="1"/>
  <c r="G145" i="1"/>
  <c r="M145" i="1" s="1"/>
  <c r="G146" i="1"/>
  <c r="M146" i="1" s="1"/>
  <c r="G147" i="1"/>
  <c r="M147" i="1" s="1"/>
  <c r="G148" i="1"/>
  <c r="M148" i="1" s="1"/>
  <c r="G149" i="1"/>
  <c r="M149" i="1" s="1"/>
  <c r="G150" i="1"/>
  <c r="M150" i="1" s="1"/>
  <c r="G151" i="1"/>
  <c r="M151" i="1" s="1"/>
  <c r="C14" i="1"/>
  <c r="C13" i="1"/>
  <c r="I11" i="1"/>
  <c r="G11" i="1"/>
  <c r="M11" i="1" s="1"/>
  <c r="C4" i="1"/>
  <c r="S132" i="1" l="1"/>
  <c r="P11" i="1"/>
  <c r="Q11" i="1" s="1"/>
  <c r="S130" i="1"/>
  <c r="T130" i="1" s="1"/>
  <c r="S11" i="1"/>
  <c r="T11" i="1" s="1"/>
  <c r="N11" i="1"/>
  <c r="K11" i="1"/>
  <c r="K13" i="1"/>
  <c r="T132" i="1"/>
  <c r="S87" i="1"/>
  <c r="T87" i="1" s="1"/>
  <c r="S86" i="1"/>
  <c r="T86" i="1" s="1"/>
  <c r="S85" i="1"/>
  <c r="T85" i="1" s="1"/>
  <c r="S65" i="1"/>
  <c r="T65" i="1" s="1"/>
  <c r="S64" i="1"/>
  <c r="T64" i="1" s="1"/>
  <c r="S63" i="1"/>
  <c r="T63" i="1" s="1"/>
  <c r="S21" i="1"/>
  <c r="T21" i="1" s="1"/>
  <c r="S20" i="1"/>
  <c r="T20" i="1" s="1"/>
  <c r="S19" i="1"/>
  <c r="T19" i="1" s="1"/>
  <c r="S151" i="1"/>
  <c r="T151" i="1" s="1"/>
  <c r="S133" i="1"/>
  <c r="T133" i="1" s="1"/>
  <c r="K12" i="1"/>
  <c r="S51" i="1"/>
  <c r="S50" i="1"/>
  <c r="S49" i="1"/>
  <c r="T49" i="1" s="1"/>
  <c r="S48" i="1"/>
  <c r="T48" i="1" s="1"/>
  <c r="S47" i="1"/>
  <c r="T131" i="1"/>
  <c r="S129" i="1"/>
  <c r="T129" i="1" s="1"/>
  <c r="S94" i="1"/>
  <c r="S93" i="1"/>
  <c r="T93" i="1" s="1"/>
  <c r="S92" i="1"/>
  <c r="T92" i="1" s="1"/>
  <c r="S91" i="1"/>
  <c r="T91" i="1" s="1"/>
  <c r="S90" i="1"/>
  <c r="T90" i="1" s="1"/>
  <c r="S89" i="1"/>
  <c r="T89" i="1" s="1"/>
  <c r="S88" i="1"/>
  <c r="S143" i="1"/>
  <c r="T143" i="1" s="1"/>
  <c r="N75" i="1"/>
  <c r="S75" i="1"/>
  <c r="T75" i="1" s="1"/>
  <c r="S142" i="1"/>
  <c r="T142" i="1" s="1"/>
  <c r="S140" i="1"/>
  <c r="T140" i="1" s="1"/>
  <c r="N74" i="1"/>
  <c r="S74" i="1"/>
  <c r="T74" i="1" s="1"/>
  <c r="S141" i="1"/>
  <c r="T141" i="1" s="1"/>
  <c r="S139" i="1"/>
  <c r="T139" i="1" s="1"/>
  <c r="S32" i="1"/>
  <c r="T32" i="1" s="1"/>
  <c r="S31" i="1"/>
  <c r="T31" i="1" s="1"/>
  <c r="S30" i="1"/>
  <c r="T30" i="1" s="1"/>
  <c r="S29" i="1"/>
  <c r="T29" i="1" s="1"/>
  <c r="N46" i="1"/>
  <c r="S46" i="1"/>
  <c r="T46" i="1" s="1"/>
  <c r="S121" i="1"/>
  <c r="T121" i="1" s="1"/>
  <c r="S28" i="1"/>
  <c r="S111" i="1"/>
  <c r="T111" i="1" s="1"/>
  <c r="N45" i="1"/>
  <c r="S45" i="1"/>
  <c r="T45" i="1" s="1"/>
  <c r="S120" i="1"/>
  <c r="T120" i="1" s="1"/>
  <c r="S77" i="1"/>
  <c r="T77" i="1" s="1"/>
  <c r="S27" i="1"/>
  <c r="T27" i="1" s="1"/>
  <c r="T17" i="1"/>
  <c r="N110" i="1"/>
  <c r="S110" i="1"/>
  <c r="T110" i="1" s="1"/>
  <c r="S119" i="1"/>
  <c r="T119" i="1" s="1"/>
  <c r="S76" i="1"/>
  <c r="T76" i="1" s="1"/>
  <c r="S26" i="1"/>
  <c r="T26" i="1" s="1"/>
  <c r="S118" i="1"/>
  <c r="T118" i="1" s="1"/>
  <c r="S68" i="1"/>
  <c r="T68" i="1" s="1"/>
  <c r="S25" i="1"/>
  <c r="T25" i="1" s="1"/>
  <c r="S117" i="1"/>
  <c r="T117" i="1" s="1"/>
  <c r="S67" i="1"/>
  <c r="T67" i="1" s="1"/>
  <c r="S24" i="1"/>
  <c r="T24" i="1" s="1"/>
  <c r="S116" i="1"/>
  <c r="S66" i="1"/>
  <c r="T66" i="1" s="1"/>
  <c r="S23" i="1"/>
  <c r="T23" i="1" s="1"/>
  <c r="S115" i="1"/>
  <c r="T115" i="1" s="1"/>
  <c r="S22" i="1"/>
  <c r="T22" i="1" s="1"/>
  <c r="S114" i="1"/>
  <c r="T114" i="1" s="1"/>
  <c r="S113" i="1"/>
  <c r="T113" i="1" s="1"/>
  <c r="T88" i="1"/>
  <c r="S112" i="1"/>
  <c r="T112" i="1" s="1"/>
  <c r="S55" i="1"/>
  <c r="T55" i="1" s="1"/>
  <c r="S97" i="1"/>
  <c r="S54" i="1"/>
  <c r="T54" i="1" s="1"/>
  <c r="S96" i="1"/>
  <c r="S53" i="1"/>
  <c r="T53" i="1" s="1"/>
  <c r="S95" i="1"/>
  <c r="T95" i="1" s="1"/>
  <c r="S52" i="1"/>
  <c r="T52" i="1" s="1"/>
  <c r="S12" i="1"/>
  <c r="T12" i="1" s="1"/>
  <c r="S138" i="1"/>
  <c r="T138" i="1" s="1"/>
  <c r="S109" i="1"/>
  <c r="T109" i="1" s="1"/>
  <c r="S73" i="1"/>
  <c r="T73" i="1" s="1"/>
  <c r="S44" i="1"/>
  <c r="T44" i="1" s="1"/>
  <c r="S137" i="1"/>
  <c r="T137" i="1" s="1"/>
  <c r="S108" i="1"/>
  <c r="T108" i="1" s="1"/>
  <c r="S72" i="1"/>
  <c r="T72" i="1" s="1"/>
  <c r="S43" i="1"/>
  <c r="T43" i="1" s="1"/>
  <c r="S136" i="1"/>
  <c r="T136" i="1" s="1"/>
  <c r="S107" i="1"/>
  <c r="T107" i="1" s="1"/>
  <c r="S71" i="1"/>
  <c r="T71" i="1" s="1"/>
  <c r="S42" i="1"/>
  <c r="T42" i="1" s="1"/>
  <c r="S135" i="1"/>
  <c r="T135" i="1" s="1"/>
  <c r="S99" i="1"/>
  <c r="T99" i="1" s="1"/>
  <c r="S70" i="1"/>
  <c r="T70" i="1" s="1"/>
  <c r="S41" i="1"/>
  <c r="T41" i="1" s="1"/>
  <c r="S134" i="1"/>
  <c r="T134" i="1" s="1"/>
  <c r="S98" i="1"/>
  <c r="T98" i="1" s="1"/>
  <c r="S69" i="1"/>
  <c r="T69" i="1" s="1"/>
  <c r="S33" i="1"/>
  <c r="T33" i="1" s="1"/>
  <c r="N94" i="1"/>
  <c r="N50" i="1"/>
  <c r="S18" i="1"/>
  <c r="T18" i="1" s="1"/>
  <c r="S39" i="1"/>
  <c r="T39" i="1" s="1"/>
  <c r="S38" i="1"/>
  <c r="T38" i="1" s="1"/>
  <c r="S37" i="1"/>
  <c r="T37" i="1" s="1"/>
  <c r="S36" i="1"/>
  <c r="T36" i="1" s="1"/>
  <c r="S145" i="1"/>
  <c r="T145" i="1" s="1"/>
  <c r="S123" i="1"/>
  <c r="T123" i="1" s="1"/>
  <c r="S101" i="1"/>
  <c r="T101" i="1" s="1"/>
  <c r="S79" i="1"/>
  <c r="T79" i="1" s="1"/>
  <c r="S57" i="1"/>
  <c r="T57" i="1" s="1"/>
  <c r="S35" i="1"/>
  <c r="T35" i="1" s="1"/>
  <c r="S13" i="1"/>
  <c r="T13" i="1" s="1"/>
  <c r="N97" i="1"/>
  <c r="N96" i="1"/>
  <c r="N72" i="1"/>
  <c r="N28" i="1"/>
  <c r="S150" i="1"/>
  <c r="T150" i="1" s="1"/>
  <c r="S128" i="1"/>
  <c r="T128" i="1" s="1"/>
  <c r="S106" i="1"/>
  <c r="T106" i="1" s="1"/>
  <c r="S84" i="1"/>
  <c r="T84" i="1" s="1"/>
  <c r="S62" i="1"/>
  <c r="T62" i="1" s="1"/>
  <c r="S40" i="1"/>
  <c r="T40" i="1" s="1"/>
  <c r="S149" i="1"/>
  <c r="T149" i="1" s="1"/>
  <c r="S127" i="1"/>
  <c r="T127" i="1" s="1"/>
  <c r="S105" i="1"/>
  <c r="T105" i="1" s="1"/>
  <c r="S83" i="1"/>
  <c r="T83" i="1" s="1"/>
  <c r="S61" i="1"/>
  <c r="T61" i="1" s="1"/>
  <c r="S17" i="1"/>
  <c r="S148" i="1"/>
  <c r="T148" i="1" s="1"/>
  <c r="S126" i="1"/>
  <c r="T126" i="1" s="1"/>
  <c r="S104" i="1"/>
  <c r="T104" i="1" s="1"/>
  <c r="S82" i="1"/>
  <c r="T82" i="1" s="1"/>
  <c r="S60" i="1"/>
  <c r="T60" i="1" s="1"/>
  <c r="S16" i="1"/>
  <c r="T16" i="1" s="1"/>
  <c r="S147" i="1"/>
  <c r="T147" i="1" s="1"/>
  <c r="S125" i="1"/>
  <c r="T125" i="1" s="1"/>
  <c r="S103" i="1"/>
  <c r="T103" i="1" s="1"/>
  <c r="S81" i="1"/>
  <c r="T81" i="1" s="1"/>
  <c r="S59" i="1"/>
  <c r="T59" i="1" s="1"/>
  <c r="S15" i="1"/>
  <c r="T15" i="1" s="1"/>
  <c r="S146" i="1"/>
  <c r="T146" i="1" s="1"/>
  <c r="S124" i="1"/>
  <c r="T124" i="1" s="1"/>
  <c r="S102" i="1"/>
  <c r="T102" i="1" s="1"/>
  <c r="S80" i="1"/>
  <c r="T80" i="1" s="1"/>
  <c r="S58" i="1"/>
  <c r="T58" i="1" s="1"/>
  <c r="S14" i="1"/>
  <c r="T14" i="1" s="1"/>
  <c r="S144" i="1"/>
  <c r="T144" i="1" s="1"/>
  <c r="S122" i="1"/>
  <c r="T122" i="1" s="1"/>
  <c r="S100" i="1"/>
  <c r="T100" i="1" s="1"/>
  <c r="S78" i="1"/>
  <c r="T78" i="1" s="1"/>
  <c r="S56" i="1"/>
  <c r="T56" i="1" s="1"/>
  <c r="S34" i="1"/>
  <c r="T34" i="1" s="1"/>
  <c r="N51" i="1"/>
  <c r="N47" i="1"/>
  <c r="P89" i="1"/>
  <c r="Q89" i="1" s="1"/>
  <c r="P136" i="1"/>
  <c r="Q136" i="1" s="1"/>
  <c r="P93" i="1"/>
  <c r="Q93" i="1" s="1"/>
  <c r="P91" i="1"/>
  <c r="Q91" i="1" s="1"/>
  <c r="P49" i="1"/>
  <c r="Q49" i="1" s="1"/>
  <c r="P96" i="1"/>
  <c r="P50" i="1"/>
  <c r="P97" i="1"/>
  <c r="P51" i="1"/>
  <c r="P98" i="1"/>
  <c r="Q98" i="1" s="1"/>
  <c r="P68" i="1"/>
  <c r="Q68" i="1" s="1"/>
  <c r="P117" i="1"/>
  <c r="Q117" i="1" s="1"/>
  <c r="P70" i="1"/>
  <c r="Q70" i="1" s="1"/>
  <c r="P24" i="1"/>
  <c r="Q24" i="1" s="1"/>
  <c r="P71" i="1"/>
  <c r="Q71" i="1" s="1"/>
  <c r="P119" i="1"/>
  <c r="Q119" i="1" s="1"/>
  <c r="P72" i="1"/>
  <c r="Q72" i="1" s="1"/>
  <c r="P133" i="1"/>
  <c r="Q133" i="1" s="1"/>
  <c r="P73" i="1"/>
  <c r="Q73" i="1" s="1"/>
  <c r="P134" i="1"/>
  <c r="Q134" i="1" s="1"/>
  <c r="P74" i="1"/>
  <c r="Q74" i="1" s="1"/>
  <c r="P135" i="1"/>
  <c r="Q135" i="1" s="1"/>
  <c r="P52" i="1"/>
  <c r="Q52" i="1" s="1"/>
  <c r="P99" i="1"/>
  <c r="Q99" i="1" s="1"/>
  <c r="P53" i="1"/>
  <c r="Q53" i="1" s="1"/>
  <c r="P114" i="1"/>
  <c r="Q114" i="1" s="1"/>
  <c r="P67" i="1"/>
  <c r="Q67" i="1" s="1"/>
  <c r="P115" i="1"/>
  <c r="Q115" i="1" s="1"/>
  <c r="P116" i="1"/>
  <c r="P69" i="1"/>
  <c r="Q69" i="1" s="1"/>
  <c r="P23" i="1"/>
  <c r="Q23" i="1" s="1"/>
  <c r="P118" i="1"/>
  <c r="Q118" i="1" s="1"/>
  <c r="P25" i="1"/>
  <c r="Q25" i="1" s="1"/>
  <c r="P26" i="1"/>
  <c r="Q26" i="1" s="1"/>
  <c r="P27" i="1"/>
  <c r="Q27" i="1" s="1"/>
  <c r="P92" i="1"/>
  <c r="Q92" i="1" s="1"/>
  <c r="P90" i="1"/>
  <c r="Q90" i="1" s="1"/>
  <c r="P76" i="1"/>
  <c r="Q76" i="1" s="1"/>
  <c r="N48" i="1"/>
  <c r="P75" i="1"/>
  <c r="Q75" i="1" s="1"/>
  <c r="P47" i="1"/>
  <c r="Q47" i="1" s="1"/>
  <c r="P46" i="1"/>
  <c r="Q46" i="1" s="1"/>
  <c r="P45" i="1"/>
  <c r="Q45" i="1" s="1"/>
  <c r="P33" i="1"/>
  <c r="Q33" i="1" s="1"/>
  <c r="P32" i="1"/>
  <c r="Q32" i="1" s="1"/>
  <c r="P31" i="1"/>
  <c r="Q31" i="1" s="1"/>
  <c r="P30" i="1"/>
  <c r="Q30" i="1" s="1"/>
  <c r="P29" i="1"/>
  <c r="Q29" i="1" s="1"/>
  <c r="P141" i="1"/>
  <c r="Q141" i="1" s="1"/>
  <c r="P28" i="1"/>
  <c r="P140" i="1"/>
  <c r="Q140" i="1" s="1"/>
  <c r="P138" i="1"/>
  <c r="Q138" i="1" s="1"/>
  <c r="P137" i="1"/>
  <c r="Q137" i="1" s="1"/>
  <c r="P95" i="1"/>
  <c r="Q95" i="1" s="1"/>
  <c r="P94" i="1"/>
  <c r="N49" i="1"/>
  <c r="N79" i="1"/>
  <c r="N78" i="1"/>
  <c r="P143" i="1"/>
  <c r="Q143" i="1" s="1"/>
  <c r="P55" i="1"/>
  <c r="Q55" i="1" s="1"/>
  <c r="P142" i="1"/>
  <c r="Q142" i="1" s="1"/>
  <c r="P54" i="1"/>
  <c r="Q54" i="1" s="1"/>
  <c r="N27" i="1"/>
  <c r="N26" i="1"/>
  <c r="N25" i="1"/>
  <c r="N24" i="1"/>
  <c r="N15" i="1"/>
  <c r="N14" i="1"/>
  <c r="N13" i="1"/>
  <c r="P110" i="1"/>
  <c r="Q110" i="1" s="1"/>
  <c r="P109" i="1"/>
  <c r="Q109" i="1" s="1"/>
  <c r="P108" i="1"/>
  <c r="Q108" i="1" s="1"/>
  <c r="P107" i="1"/>
  <c r="Q107" i="1" s="1"/>
  <c r="P44" i="1"/>
  <c r="Q44" i="1" s="1"/>
  <c r="P106" i="1"/>
  <c r="Q106" i="1" s="1"/>
  <c r="P43" i="1"/>
  <c r="Q43" i="1" s="1"/>
  <c r="P42" i="1"/>
  <c r="Q42" i="1" s="1"/>
  <c r="P132" i="1"/>
  <c r="Q132" i="1" s="1"/>
  <c r="P41" i="1"/>
  <c r="Q41" i="1" s="1"/>
  <c r="P131" i="1"/>
  <c r="Q131" i="1" s="1"/>
  <c r="P130" i="1"/>
  <c r="Q130" i="1" s="1"/>
  <c r="P129" i="1"/>
  <c r="Q129" i="1" s="1"/>
  <c r="P128" i="1"/>
  <c r="Q128" i="1" s="1"/>
  <c r="P66" i="1"/>
  <c r="Q66" i="1" s="1"/>
  <c r="P121" i="1"/>
  <c r="Q121" i="1" s="1"/>
  <c r="P65" i="1"/>
  <c r="Q65" i="1" s="1"/>
  <c r="P120" i="1"/>
  <c r="Q120" i="1" s="1"/>
  <c r="P64" i="1"/>
  <c r="Q64" i="1" s="1"/>
  <c r="P63" i="1"/>
  <c r="Q63" i="1" s="1"/>
  <c r="P151" i="1"/>
  <c r="Q151" i="1" s="1"/>
  <c r="P150" i="1"/>
  <c r="Q150" i="1" s="1"/>
  <c r="P88" i="1"/>
  <c r="Q88" i="1" s="1"/>
  <c r="P87" i="1"/>
  <c r="Q87" i="1" s="1"/>
  <c r="P86" i="1"/>
  <c r="Q86" i="1" s="1"/>
  <c r="P22" i="1"/>
  <c r="Q22" i="1" s="1"/>
  <c r="N99" i="1"/>
  <c r="N55" i="1"/>
  <c r="P113" i="1"/>
  <c r="Q113" i="1" s="1"/>
  <c r="P85" i="1"/>
  <c r="Q85" i="1" s="1"/>
  <c r="P21" i="1"/>
  <c r="Q21" i="1" s="1"/>
  <c r="N54" i="1"/>
  <c r="P112" i="1"/>
  <c r="Q112" i="1" s="1"/>
  <c r="P84" i="1"/>
  <c r="Q84" i="1" s="1"/>
  <c r="P20" i="1"/>
  <c r="Q20" i="1" s="1"/>
  <c r="P12" i="1"/>
  <c r="Q12" i="1" s="1"/>
  <c r="P34" i="1"/>
  <c r="Q34" i="1" s="1"/>
  <c r="P56" i="1"/>
  <c r="Q56" i="1" s="1"/>
  <c r="P78" i="1"/>
  <c r="Q78" i="1" s="1"/>
  <c r="P100" i="1"/>
  <c r="Q100" i="1" s="1"/>
  <c r="P122" i="1"/>
  <c r="Q122" i="1" s="1"/>
  <c r="P144" i="1"/>
  <c r="Q144" i="1" s="1"/>
  <c r="P13" i="1"/>
  <c r="Q13" i="1" s="1"/>
  <c r="P35" i="1"/>
  <c r="Q35" i="1" s="1"/>
  <c r="P57" i="1"/>
  <c r="Q57" i="1" s="1"/>
  <c r="P79" i="1"/>
  <c r="Q79" i="1" s="1"/>
  <c r="P101" i="1"/>
  <c r="Q101" i="1" s="1"/>
  <c r="P123" i="1"/>
  <c r="Q123" i="1" s="1"/>
  <c r="P145" i="1"/>
  <c r="Q145" i="1" s="1"/>
  <c r="P14" i="1"/>
  <c r="Q14" i="1" s="1"/>
  <c r="P36" i="1"/>
  <c r="Q36" i="1" s="1"/>
  <c r="P58" i="1"/>
  <c r="Q58" i="1" s="1"/>
  <c r="P80" i="1"/>
  <c r="Q80" i="1" s="1"/>
  <c r="P102" i="1"/>
  <c r="Q102" i="1" s="1"/>
  <c r="P124" i="1"/>
  <c r="Q124" i="1" s="1"/>
  <c r="P146" i="1"/>
  <c r="Q146" i="1" s="1"/>
  <c r="P15" i="1"/>
  <c r="Q15" i="1" s="1"/>
  <c r="P37" i="1"/>
  <c r="Q37" i="1" s="1"/>
  <c r="P59" i="1"/>
  <c r="Q59" i="1" s="1"/>
  <c r="P81" i="1"/>
  <c r="Q81" i="1" s="1"/>
  <c r="P103" i="1"/>
  <c r="Q103" i="1" s="1"/>
  <c r="P125" i="1"/>
  <c r="Q125" i="1" s="1"/>
  <c r="P147" i="1"/>
  <c r="Q147" i="1" s="1"/>
  <c r="P16" i="1"/>
  <c r="Q16" i="1" s="1"/>
  <c r="P38" i="1"/>
  <c r="Q38" i="1" s="1"/>
  <c r="P60" i="1"/>
  <c r="Q60" i="1" s="1"/>
  <c r="P82" i="1"/>
  <c r="Q82" i="1" s="1"/>
  <c r="P104" i="1"/>
  <c r="Q104" i="1" s="1"/>
  <c r="P126" i="1"/>
  <c r="Q126" i="1" s="1"/>
  <c r="P148" i="1"/>
  <c r="Q148" i="1" s="1"/>
  <c r="P17" i="1"/>
  <c r="Q17" i="1" s="1"/>
  <c r="P39" i="1"/>
  <c r="Q39" i="1" s="1"/>
  <c r="P61" i="1"/>
  <c r="Q61" i="1" s="1"/>
  <c r="P83" i="1"/>
  <c r="Q83" i="1" s="1"/>
  <c r="P105" i="1"/>
  <c r="Q105" i="1" s="1"/>
  <c r="P127" i="1"/>
  <c r="Q127" i="1" s="1"/>
  <c r="P149" i="1"/>
  <c r="Q149" i="1" s="1"/>
  <c r="P18" i="1"/>
  <c r="Q18" i="1" s="1"/>
  <c r="P40" i="1"/>
  <c r="Q40" i="1" s="1"/>
  <c r="P62" i="1"/>
  <c r="Q62" i="1" s="1"/>
  <c r="P139" i="1"/>
  <c r="Q139" i="1" s="1"/>
  <c r="P111" i="1"/>
  <c r="Q111" i="1" s="1"/>
  <c r="P77" i="1"/>
  <c r="Q77" i="1" s="1"/>
  <c r="P48" i="1"/>
  <c r="Q48" i="1" s="1"/>
  <c r="P19" i="1"/>
  <c r="Q19" i="1" s="1"/>
  <c r="N95" i="1"/>
  <c r="N73" i="1"/>
  <c r="N103" i="1"/>
  <c r="N81" i="1"/>
  <c r="N59" i="1"/>
  <c r="N37" i="1"/>
  <c r="N102" i="1"/>
  <c r="N80" i="1"/>
  <c r="N58" i="1"/>
  <c r="N36" i="1"/>
  <c r="N101" i="1"/>
  <c r="N57" i="1"/>
  <c r="N35" i="1"/>
  <c r="N100" i="1"/>
  <c r="N56" i="1"/>
  <c r="N34" i="1"/>
  <c r="N53" i="1"/>
  <c r="N52" i="1"/>
  <c r="N31" i="1"/>
  <c r="N30" i="1"/>
  <c r="N29" i="1"/>
  <c r="N16" i="1"/>
  <c r="N71" i="1"/>
  <c r="N12" i="1"/>
  <c r="N70" i="1"/>
  <c r="N69" i="1"/>
  <c r="N68" i="1"/>
  <c r="N89" i="1"/>
  <c r="N67" i="1"/>
  <c r="N23" i="1"/>
  <c r="N88" i="1"/>
  <c r="N66" i="1"/>
  <c r="N44" i="1"/>
  <c r="N22" i="1"/>
  <c r="N109" i="1"/>
  <c r="N87" i="1"/>
  <c r="N65" i="1"/>
  <c r="N43" i="1"/>
  <c r="N21" i="1"/>
  <c r="N77" i="1"/>
  <c r="N76" i="1"/>
  <c r="N93" i="1"/>
  <c r="N92" i="1"/>
  <c r="N91" i="1"/>
  <c r="N90" i="1"/>
  <c r="N33" i="1"/>
  <c r="N98" i="1"/>
  <c r="N32" i="1"/>
  <c r="N108" i="1"/>
  <c r="N86" i="1"/>
  <c r="N64" i="1"/>
  <c r="N42" i="1"/>
  <c r="N20" i="1"/>
  <c r="N107" i="1"/>
  <c r="N85" i="1"/>
  <c r="N63" i="1"/>
  <c r="N41" i="1"/>
  <c r="N19" i="1"/>
  <c r="N106" i="1"/>
  <c r="N84" i="1"/>
  <c r="N62" i="1"/>
  <c r="N40" i="1"/>
  <c r="N18" i="1"/>
  <c r="N105" i="1"/>
  <c r="N83" i="1"/>
  <c r="N61" i="1"/>
  <c r="N39" i="1"/>
  <c r="N17" i="1"/>
  <c r="N104" i="1"/>
  <c r="N82" i="1"/>
  <c r="N60" i="1"/>
  <c r="N38" i="1"/>
  <c r="K50" i="1"/>
  <c r="K88" i="1"/>
  <c r="K118" i="1"/>
  <c r="K51" i="1"/>
  <c r="K89" i="1"/>
  <c r="K119" i="1"/>
  <c r="K22" i="1"/>
  <c r="K52" i="1"/>
  <c r="K90" i="1"/>
  <c r="K120" i="1"/>
  <c r="K23" i="1"/>
  <c r="K53" i="1"/>
  <c r="K91" i="1"/>
  <c r="K121" i="1"/>
  <c r="K24" i="1"/>
  <c r="K54" i="1"/>
  <c r="K92" i="1"/>
  <c r="K122" i="1"/>
  <c r="K25" i="1"/>
  <c r="K55" i="1"/>
  <c r="K93" i="1"/>
  <c r="K123" i="1"/>
  <c r="K26" i="1"/>
  <c r="K56" i="1"/>
  <c r="K94" i="1"/>
  <c r="K132" i="1"/>
  <c r="K27" i="1"/>
  <c r="K57" i="1"/>
  <c r="K95" i="1"/>
  <c r="K133" i="1"/>
  <c r="K28" i="1"/>
  <c r="K66" i="1"/>
  <c r="K96" i="1"/>
  <c r="K134" i="1"/>
  <c r="K29" i="1"/>
  <c r="K67" i="1"/>
  <c r="K97" i="1"/>
  <c r="K135" i="1"/>
  <c r="K30" i="1"/>
  <c r="K68" i="1"/>
  <c r="K98" i="1"/>
  <c r="K136" i="1"/>
  <c r="K31" i="1"/>
  <c r="K69" i="1"/>
  <c r="K99" i="1"/>
  <c r="K137" i="1"/>
  <c r="K32" i="1"/>
  <c r="K70" i="1"/>
  <c r="K100" i="1"/>
  <c r="K138" i="1"/>
  <c r="K33" i="1"/>
  <c r="K71" i="1"/>
  <c r="K101" i="1"/>
  <c r="K139" i="1"/>
  <c r="K34" i="1"/>
  <c r="K72" i="1"/>
  <c r="K110" i="1"/>
  <c r="K140" i="1"/>
  <c r="K35" i="1"/>
  <c r="K73" i="1"/>
  <c r="K111" i="1"/>
  <c r="K141" i="1"/>
  <c r="K44" i="1"/>
  <c r="K74" i="1"/>
  <c r="K112" i="1"/>
  <c r="K142" i="1"/>
  <c r="K45" i="1"/>
  <c r="K75" i="1"/>
  <c r="K113" i="1"/>
  <c r="K143" i="1"/>
  <c r="K46" i="1"/>
  <c r="K76" i="1"/>
  <c r="K114" i="1"/>
  <c r="K144" i="1"/>
  <c r="K47" i="1"/>
  <c r="K77" i="1"/>
  <c r="K115" i="1"/>
  <c r="K145" i="1"/>
  <c r="K116" i="1"/>
  <c r="K78" i="1"/>
  <c r="K48" i="1"/>
  <c r="K14" i="1"/>
  <c r="K117" i="1"/>
  <c r="K79" i="1"/>
  <c r="K49" i="1"/>
  <c r="K130" i="1"/>
  <c r="K131" i="1"/>
  <c r="K109" i="1"/>
  <c r="K87" i="1"/>
  <c r="K65" i="1"/>
  <c r="K43" i="1"/>
  <c r="K21" i="1"/>
  <c r="K108" i="1"/>
  <c r="K86" i="1"/>
  <c r="K64" i="1"/>
  <c r="K42" i="1"/>
  <c r="K20" i="1"/>
  <c r="K151" i="1"/>
  <c r="K129" i="1"/>
  <c r="K107" i="1"/>
  <c r="K85" i="1"/>
  <c r="K63" i="1"/>
  <c r="K41" i="1"/>
  <c r="K19" i="1"/>
  <c r="K150" i="1"/>
  <c r="K128" i="1"/>
  <c r="K106" i="1"/>
  <c r="K84" i="1"/>
  <c r="K62" i="1"/>
  <c r="K40" i="1"/>
  <c r="K18" i="1"/>
  <c r="K149" i="1"/>
  <c r="K127" i="1"/>
  <c r="K105" i="1"/>
  <c r="K83" i="1"/>
  <c r="K61" i="1"/>
  <c r="K39" i="1"/>
  <c r="K17" i="1"/>
  <c r="K148" i="1"/>
  <c r="K126" i="1"/>
  <c r="K104" i="1"/>
  <c r="K82" i="1"/>
  <c r="K60" i="1"/>
  <c r="K38" i="1"/>
  <c r="K16" i="1"/>
  <c r="K147" i="1"/>
  <c r="K125" i="1"/>
  <c r="K103" i="1"/>
  <c r="K81" i="1"/>
  <c r="K59" i="1"/>
  <c r="K37" i="1"/>
  <c r="K15" i="1"/>
  <c r="K146" i="1"/>
  <c r="K124" i="1"/>
  <c r="K102" i="1"/>
  <c r="K80" i="1"/>
  <c r="K58" i="1"/>
  <c r="K36" i="1"/>
  <c r="T51" i="1" l="1"/>
  <c r="T116" i="1"/>
  <c r="T97" i="1"/>
  <c r="T94" i="1"/>
  <c r="T50" i="1"/>
  <c r="T47" i="1"/>
  <c r="T28" i="1"/>
  <c r="T96" i="1"/>
  <c r="Q28" i="1"/>
  <c r="Q94" i="1"/>
  <c r="Q96" i="1"/>
  <c r="Q51" i="1"/>
  <c r="Q97" i="1"/>
  <c r="Q116" i="1"/>
  <c r="Q50" i="1"/>
</calcChain>
</file>

<file path=xl/sharedStrings.xml><?xml version="1.0" encoding="utf-8"?>
<sst xmlns="http://schemas.openxmlformats.org/spreadsheetml/2006/main" count="80" uniqueCount="43">
  <si>
    <t>Symbol</t>
  </si>
  <si>
    <t>Value</t>
  </si>
  <si>
    <t>Unit</t>
  </si>
  <si>
    <t>Pressure</t>
  </si>
  <si>
    <t>P</t>
  </si>
  <si>
    <t>bar</t>
  </si>
  <si>
    <t>Critical Pressure</t>
  </si>
  <si>
    <t>Pc</t>
  </si>
  <si>
    <t>s</t>
  </si>
  <si>
    <t>Reduced Pressure</t>
  </si>
  <si>
    <t>Pr</t>
  </si>
  <si>
    <t>gas constant</t>
  </si>
  <si>
    <t>R</t>
  </si>
  <si>
    <t>L*bar/mol/K</t>
  </si>
  <si>
    <t>Critical Temperature</t>
  </si>
  <si>
    <t>Tc</t>
  </si>
  <si>
    <t>K</t>
  </si>
  <si>
    <t>Calculating Molar Volume</t>
  </si>
  <si>
    <t>Ideal Gas Law</t>
  </si>
  <si>
    <t>Van der Waals</t>
  </si>
  <si>
    <t>Redlich-Kwong</t>
  </si>
  <si>
    <t>SRK</t>
  </si>
  <si>
    <t>Peng-Robinson</t>
  </si>
  <si>
    <t>Van der Waals Constants</t>
  </si>
  <si>
    <t>Temperature (K)</t>
  </si>
  <si>
    <t>Reduced Temp</t>
  </si>
  <si>
    <t>Equation</t>
  </si>
  <si>
    <t>a(T)</t>
  </si>
  <si>
    <t>alpha(T)</t>
  </si>
  <si>
    <t>omega</t>
  </si>
  <si>
    <t>Ω</t>
  </si>
  <si>
    <t>psi</t>
  </si>
  <si>
    <t>Ψ</t>
  </si>
  <si>
    <t>b</t>
  </si>
  <si>
    <t>a</t>
  </si>
  <si>
    <t>Redlich-Kwong Constants</t>
  </si>
  <si>
    <t>beta</t>
  </si>
  <si>
    <t>β</t>
  </si>
  <si>
    <t>Soave-Redlich-Kwong Constants</t>
  </si>
  <si>
    <t>eccentric factor</t>
  </si>
  <si>
    <t>w</t>
  </si>
  <si>
    <t>m</t>
  </si>
  <si>
    <t>Peng-Robinson Constants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</si>
</sst>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5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1" fillId="0" borderId="7" xfId="0" applyFont="1" applyBorder="1"/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/>
    <xf numFmtId="0" fontId="0" fillId="2" borderId="5" xfId="0" applyFill="1" applyBorder="1"/>
    <xf numFmtId="0" fontId="4" fillId="2" borderId="5" xfId="0" applyFont="1" applyFill="1" applyBorder="1"/>
    <xf numFmtId="0" fontId="0" fillId="0" borderId="0" xfId="0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Methane:</a:t>
            </a:r>
            <a:r>
              <a:rPr lang="en-US" baseline="0"/>
              <a:t> Ideal Gas V vs T at 200bar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544180699436825E-2"/>
                  <c:y val="-2.8985499895900718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Data!$F$11:$F$151</c:f>
              <c:numCache>
                <c:formatCode>General</c:formatCode>
                <c:ptCount val="1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  <c:pt idx="41">
                  <c:v>505</c:v>
                </c:pt>
                <c:pt idx="42">
                  <c:v>510</c:v>
                </c:pt>
                <c:pt idx="43">
                  <c:v>515</c:v>
                </c:pt>
                <c:pt idx="44">
                  <c:v>520</c:v>
                </c:pt>
                <c:pt idx="45">
                  <c:v>525</c:v>
                </c:pt>
                <c:pt idx="46">
                  <c:v>530</c:v>
                </c:pt>
                <c:pt idx="47">
                  <c:v>535</c:v>
                </c:pt>
                <c:pt idx="48">
                  <c:v>540</c:v>
                </c:pt>
                <c:pt idx="49">
                  <c:v>545</c:v>
                </c:pt>
                <c:pt idx="50">
                  <c:v>550</c:v>
                </c:pt>
                <c:pt idx="51">
                  <c:v>555</c:v>
                </c:pt>
                <c:pt idx="52">
                  <c:v>560</c:v>
                </c:pt>
                <c:pt idx="53">
                  <c:v>565</c:v>
                </c:pt>
                <c:pt idx="54">
                  <c:v>570</c:v>
                </c:pt>
                <c:pt idx="55">
                  <c:v>575</c:v>
                </c:pt>
                <c:pt idx="56">
                  <c:v>580</c:v>
                </c:pt>
                <c:pt idx="57">
                  <c:v>585</c:v>
                </c:pt>
                <c:pt idx="58">
                  <c:v>590</c:v>
                </c:pt>
                <c:pt idx="59">
                  <c:v>595</c:v>
                </c:pt>
                <c:pt idx="60">
                  <c:v>600</c:v>
                </c:pt>
                <c:pt idx="61">
                  <c:v>605</c:v>
                </c:pt>
                <c:pt idx="62">
                  <c:v>610</c:v>
                </c:pt>
                <c:pt idx="63">
                  <c:v>615</c:v>
                </c:pt>
                <c:pt idx="64">
                  <c:v>620</c:v>
                </c:pt>
                <c:pt idx="65">
                  <c:v>625</c:v>
                </c:pt>
                <c:pt idx="66">
                  <c:v>630</c:v>
                </c:pt>
                <c:pt idx="67">
                  <c:v>635</c:v>
                </c:pt>
                <c:pt idx="68">
                  <c:v>640</c:v>
                </c:pt>
                <c:pt idx="69">
                  <c:v>645</c:v>
                </c:pt>
                <c:pt idx="70">
                  <c:v>650</c:v>
                </c:pt>
                <c:pt idx="71">
                  <c:v>655</c:v>
                </c:pt>
                <c:pt idx="72">
                  <c:v>660</c:v>
                </c:pt>
                <c:pt idx="73">
                  <c:v>665</c:v>
                </c:pt>
                <c:pt idx="74">
                  <c:v>670</c:v>
                </c:pt>
                <c:pt idx="75">
                  <c:v>675</c:v>
                </c:pt>
                <c:pt idx="76">
                  <c:v>680</c:v>
                </c:pt>
                <c:pt idx="77">
                  <c:v>685</c:v>
                </c:pt>
                <c:pt idx="78">
                  <c:v>690</c:v>
                </c:pt>
                <c:pt idx="79">
                  <c:v>695</c:v>
                </c:pt>
                <c:pt idx="80">
                  <c:v>700</c:v>
                </c:pt>
                <c:pt idx="81">
                  <c:v>705</c:v>
                </c:pt>
                <c:pt idx="82">
                  <c:v>710</c:v>
                </c:pt>
                <c:pt idx="83">
                  <c:v>715</c:v>
                </c:pt>
                <c:pt idx="84">
                  <c:v>720</c:v>
                </c:pt>
                <c:pt idx="85">
                  <c:v>725</c:v>
                </c:pt>
                <c:pt idx="86">
                  <c:v>730</c:v>
                </c:pt>
                <c:pt idx="87">
                  <c:v>735</c:v>
                </c:pt>
                <c:pt idx="88">
                  <c:v>740</c:v>
                </c:pt>
                <c:pt idx="89">
                  <c:v>745</c:v>
                </c:pt>
                <c:pt idx="90">
                  <c:v>750</c:v>
                </c:pt>
                <c:pt idx="91">
                  <c:v>755</c:v>
                </c:pt>
                <c:pt idx="92">
                  <c:v>760</c:v>
                </c:pt>
                <c:pt idx="93">
                  <c:v>765</c:v>
                </c:pt>
                <c:pt idx="94">
                  <c:v>770</c:v>
                </c:pt>
                <c:pt idx="95">
                  <c:v>775</c:v>
                </c:pt>
                <c:pt idx="96">
                  <c:v>780</c:v>
                </c:pt>
                <c:pt idx="97">
                  <c:v>785</c:v>
                </c:pt>
                <c:pt idx="98">
                  <c:v>790</c:v>
                </c:pt>
                <c:pt idx="99">
                  <c:v>795</c:v>
                </c:pt>
                <c:pt idx="100">
                  <c:v>800</c:v>
                </c:pt>
                <c:pt idx="101">
                  <c:v>805</c:v>
                </c:pt>
                <c:pt idx="102">
                  <c:v>810</c:v>
                </c:pt>
                <c:pt idx="103">
                  <c:v>815</c:v>
                </c:pt>
                <c:pt idx="104">
                  <c:v>820</c:v>
                </c:pt>
                <c:pt idx="105">
                  <c:v>825</c:v>
                </c:pt>
                <c:pt idx="106">
                  <c:v>830</c:v>
                </c:pt>
                <c:pt idx="107">
                  <c:v>835</c:v>
                </c:pt>
                <c:pt idx="108">
                  <c:v>840</c:v>
                </c:pt>
                <c:pt idx="109">
                  <c:v>845</c:v>
                </c:pt>
                <c:pt idx="110">
                  <c:v>850</c:v>
                </c:pt>
                <c:pt idx="111">
                  <c:v>855</c:v>
                </c:pt>
                <c:pt idx="112">
                  <c:v>860</c:v>
                </c:pt>
                <c:pt idx="113">
                  <c:v>865</c:v>
                </c:pt>
                <c:pt idx="114">
                  <c:v>870</c:v>
                </c:pt>
                <c:pt idx="115">
                  <c:v>875</c:v>
                </c:pt>
                <c:pt idx="116">
                  <c:v>880</c:v>
                </c:pt>
                <c:pt idx="117">
                  <c:v>885</c:v>
                </c:pt>
                <c:pt idx="118">
                  <c:v>890</c:v>
                </c:pt>
                <c:pt idx="119">
                  <c:v>895</c:v>
                </c:pt>
                <c:pt idx="120">
                  <c:v>900</c:v>
                </c:pt>
                <c:pt idx="121">
                  <c:v>905</c:v>
                </c:pt>
                <c:pt idx="122">
                  <c:v>910</c:v>
                </c:pt>
                <c:pt idx="123">
                  <c:v>915</c:v>
                </c:pt>
                <c:pt idx="124">
                  <c:v>920</c:v>
                </c:pt>
                <c:pt idx="125">
                  <c:v>925</c:v>
                </c:pt>
                <c:pt idx="126">
                  <c:v>930</c:v>
                </c:pt>
                <c:pt idx="127">
                  <c:v>935</c:v>
                </c:pt>
                <c:pt idx="128">
                  <c:v>940</c:v>
                </c:pt>
                <c:pt idx="129">
                  <c:v>945</c:v>
                </c:pt>
                <c:pt idx="130">
                  <c:v>950</c:v>
                </c:pt>
                <c:pt idx="131">
                  <c:v>955</c:v>
                </c:pt>
                <c:pt idx="132">
                  <c:v>960</c:v>
                </c:pt>
                <c:pt idx="133">
                  <c:v>965</c:v>
                </c:pt>
                <c:pt idx="134">
                  <c:v>970</c:v>
                </c:pt>
                <c:pt idx="135">
                  <c:v>975</c:v>
                </c:pt>
                <c:pt idx="136">
                  <c:v>980</c:v>
                </c:pt>
                <c:pt idx="137">
                  <c:v>985</c:v>
                </c:pt>
                <c:pt idx="138">
                  <c:v>990</c:v>
                </c:pt>
                <c:pt idx="139">
                  <c:v>995</c:v>
                </c:pt>
                <c:pt idx="140">
                  <c:v>1000</c:v>
                </c:pt>
              </c:numCache>
            </c:numRef>
          </c:xVal>
          <c:yVal>
            <c:numRef>
              <c:f>Data!$I$11:$I$151</c:f>
              <c:numCache>
                <c:formatCode>General</c:formatCode>
                <c:ptCount val="141"/>
                <c:pt idx="0">
                  <c:v>0.12471</c:v>
                </c:pt>
                <c:pt idx="1">
                  <c:v>0.1267885</c:v>
                </c:pt>
                <c:pt idx="2">
                  <c:v>0.12886700000000001</c:v>
                </c:pt>
                <c:pt idx="3">
                  <c:v>0.13094550000000002</c:v>
                </c:pt>
                <c:pt idx="4">
                  <c:v>0.133024</c:v>
                </c:pt>
                <c:pt idx="5">
                  <c:v>0.13510250000000001</c:v>
                </c:pt>
                <c:pt idx="6">
                  <c:v>0.13718100000000003</c:v>
                </c:pt>
                <c:pt idx="7">
                  <c:v>0.13925950000000001</c:v>
                </c:pt>
                <c:pt idx="8">
                  <c:v>0.14133800000000002</c:v>
                </c:pt>
                <c:pt idx="9">
                  <c:v>0.1434165</c:v>
                </c:pt>
                <c:pt idx="10">
                  <c:v>0.14549500000000001</c:v>
                </c:pt>
                <c:pt idx="11">
                  <c:v>0.1475735</c:v>
                </c:pt>
                <c:pt idx="12">
                  <c:v>0.14965200000000001</c:v>
                </c:pt>
                <c:pt idx="13">
                  <c:v>0.15173050000000002</c:v>
                </c:pt>
                <c:pt idx="14">
                  <c:v>0.153809</c:v>
                </c:pt>
                <c:pt idx="15">
                  <c:v>0.15588750000000001</c:v>
                </c:pt>
                <c:pt idx="16">
                  <c:v>0.15796600000000002</c:v>
                </c:pt>
                <c:pt idx="17">
                  <c:v>0.16004450000000003</c:v>
                </c:pt>
                <c:pt idx="18">
                  <c:v>0.16212300000000002</c:v>
                </c:pt>
                <c:pt idx="19">
                  <c:v>0.1642015</c:v>
                </c:pt>
                <c:pt idx="20">
                  <c:v>0.16628000000000001</c:v>
                </c:pt>
                <c:pt idx="21">
                  <c:v>0.16835849999999999</c:v>
                </c:pt>
                <c:pt idx="22">
                  <c:v>0.17043700000000001</c:v>
                </c:pt>
                <c:pt idx="23">
                  <c:v>0.17251550000000002</c:v>
                </c:pt>
                <c:pt idx="24">
                  <c:v>0.17459400000000003</c:v>
                </c:pt>
                <c:pt idx="25">
                  <c:v>0.17667250000000004</c:v>
                </c:pt>
                <c:pt idx="26">
                  <c:v>0.17875099999999999</c:v>
                </c:pt>
                <c:pt idx="27">
                  <c:v>0.1808295</c:v>
                </c:pt>
                <c:pt idx="28">
                  <c:v>0.18290800000000002</c:v>
                </c:pt>
                <c:pt idx="29">
                  <c:v>0.18498650000000003</c:v>
                </c:pt>
                <c:pt idx="30">
                  <c:v>0.18706500000000001</c:v>
                </c:pt>
                <c:pt idx="31">
                  <c:v>0.18914350000000002</c:v>
                </c:pt>
                <c:pt idx="32">
                  <c:v>0.19122200000000003</c:v>
                </c:pt>
                <c:pt idx="33">
                  <c:v>0.19330049999999999</c:v>
                </c:pt>
                <c:pt idx="34">
                  <c:v>0.195379</c:v>
                </c:pt>
                <c:pt idx="35">
                  <c:v>0.19745750000000001</c:v>
                </c:pt>
                <c:pt idx="36">
                  <c:v>0.19953600000000002</c:v>
                </c:pt>
                <c:pt idx="37">
                  <c:v>0.20161450000000003</c:v>
                </c:pt>
                <c:pt idx="38">
                  <c:v>0.20369300000000001</c:v>
                </c:pt>
                <c:pt idx="39">
                  <c:v>0.2057715</c:v>
                </c:pt>
                <c:pt idx="40">
                  <c:v>0.20785000000000001</c:v>
                </c:pt>
                <c:pt idx="41">
                  <c:v>0.20992850000000002</c:v>
                </c:pt>
                <c:pt idx="42">
                  <c:v>0.212007</c:v>
                </c:pt>
                <c:pt idx="43">
                  <c:v>0.21408550000000001</c:v>
                </c:pt>
                <c:pt idx="44">
                  <c:v>0.21616400000000002</c:v>
                </c:pt>
                <c:pt idx="45">
                  <c:v>0.21824250000000003</c:v>
                </c:pt>
                <c:pt idx="46">
                  <c:v>0.22032099999999999</c:v>
                </c:pt>
                <c:pt idx="47">
                  <c:v>0.2223995</c:v>
                </c:pt>
                <c:pt idx="48">
                  <c:v>0.22447800000000001</c:v>
                </c:pt>
                <c:pt idx="49">
                  <c:v>0.22655650000000002</c:v>
                </c:pt>
                <c:pt idx="50">
                  <c:v>0.22863500000000003</c:v>
                </c:pt>
                <c:pt idx="51">
                  <c:v>0.23071350000000002</c:v>
                </c:pt>
                <c:pt idx="52">
                  <c:v>0.23279200000000003</c:v>
                </c:pt>
                <c:pt idx="53">
                  <c:v>0.23487050000000001</c:v>
                </c:pt>
                <c:pt idx="54">
                  <c:v>0.23694899999999999</c:v>
                </c:pt>
                <c:pt idx="55">
                  <c:v>0.2390275</c:v>
                </c:pt>
                <c:pt idx="56">
                  <c:v>0.24110600000000001</c:v>
                </c:pt>
                <c:pt idx="57">
                  <c:v>0.24318450000000003</c:v>
                </c:pt>
                <c:pt idx="58">
                  <c:v>0.24526300000000004</c:v>
                </c:pt>
                <c:pt idx="59">
                  <c:v>0.24734150000000002</c:v>
                </c:pt>
                <c:pt idx="60">
                  <c:v>0.24942</c:v>
                </c:pt>
                <c:pt idx="61">
                  <c:v>0.25149850000000001</c:v>
                </c:pt>
                <c:pt idx="62">
                  <c:v>0.253577</c:v>
                </c:pt>
                <c:pt idx="63">
                  <c:v>0.25565550000000004</c:v>
                </c:pt>
                <c:pt idx="64">
                  <c:v>0.25773400000000002</c:v>
                </c:pt>
                <c:pt idx="65">
                  <c:v>0.2598125</c:v>
                </c:pt>
                <c:pt idx="66">
                  <c:v>0.26189100000000004</c:v>
                </c:pt>
                <c:pt idx="67">
                  <c:v>0.26396950000000002</c:v>
                </c:pt>
                <c:pt idx="68">
                  <c:v>0.26604800000000001</c:v>
                </c:pt>
                <c:pt idx="69">
                  <c:v>0.26812649999999999</c:v>
                </c:pt>
                <c:pt idx="70">
                  <c:v>0.27020500000000003</c:v>
                </c:pt>
                <c:pt idx="71">
                  <c:v>0.27228350000000001</c:v>
                </c:pt>
                <c:pt idx="72">
                  <c:v>0.27436200000000005</c:v>
                </c:pt>
                <c:pt idx="73">
                  <c:v>0.27644050000000003</c:v>
                </c:pt>
                <c:pt idx="74">
                  <c:v>0.27851900000000002</c:v>
                </c:pt>
                <c:pt idx="75">
                  <c:v>0.2805975</c:v>
                </c:pt>
                <c:pt idx="76">
                  <c:v>0.28267600000000004</c:v>
                </c:pt>
                <c:pt idx="77">
                  <c:v>0.28475450000000002</c:v>
                </c:pt>
                <c:pt idx="78">
                  <c:v>0.286833</c:v>
                </c:pt>
                <c:pt idx="79">
                  <c:v>0.28891150000000004</c:v>
                </c:pt>
                <c:pt idx="80">
                  <c:v>0.29099000000000003</c:v>
                </c:pt>
                <c:pt idx="81">
                  <c:v>0.29306850000000001</c:v>
                </c:pt>
                <c:pt idx="82">
                  <c:v>0.29514699999999999</c:v>
                </c:pt>
                <c:pt idx="83">
                  <c:v>0.29722550000000003</c:v>
                </c:pt>
                <c:pt idx="84">
                  <c:v>0.29930400000000001</c:v>
                </c:pt>
                <c:pt idx="85">
                  <c:v>0.30138250000000005</c:v>
                </c:pt>
                <c:pt idx="86">
                  <c:v>0.30346100000000004</c:v>
                </c:pt>
                <c:pt idx="87">
                  <c:v>0.30553950000000002</c:v>
                </c:pt>
                <c:pt idx="88">
                  <c:v>0.307618</c:v>
                </c:pt>
                <c:pt idx="89">
                  <c:v>0.30969650000000004</c:v>
                </c:pt>
                <c:pt idx="90">
                  <c:v>0.31177500000000002</c:v>
                </c:pt>
                <c:pt idx="91">
                  <c:v>0.31385350000000001</c:v>
                </c:pt>
                <c:pt idx="92">
                  <c:v>0.31593200000000005</c:v>
                </c:pt>
                <c:pt idx="93">
                  <c:v>0.31801050000000003</c:v>
                </c:pt>
                <c:pt idx="94">
                  <c:v>0.32008900000000007</c:v>
                </c:pt>
                <c:pt idx="95">
                  <c:v>0.32216750000000005</c:v>
                </c:pt>
                <c:pt idx="96">
                  <c:v>0.32424600000000003</c:v>
                </c:pt>
                <c:pt idx="97">
                  <c:v>0.32632450000000007</c:v>
                </c:pt>
                <c:pt idx="98">
                  <c:v>0.328403</c:v>
                </c:pt>
                <c:pt idx="99">
                  <c:v>0.33048149999999998</c:v>
                </c:pt>
                <c:pt idx="100">
                  <c:v>0.33256000000000002</c:v>
                </c:pt>
                <c:pt idx="101">
                  <c:v>0.33463850000000001</c:v>
                </c:pt>
                <c:pt idx="102">
                  <c:v>0.33671699999999999</c:v>
                </c:pt>
                <c:pt idx="103">
                  <c:v>0.33879550000000003</c:v>
                </c:pt>
                <c:pt idx="104">
                  <c:v>0.34087400000000001</c:v>
                </c:pt>
                <c:pt idx="105">
                  <c:v>0.34295250000000005</c:v>
                </c:pt>
                <c:pt idx="106">
                  <c:v>0.34503100000000003</c:v>
                </c:pt>
                <c:pt idx="107">
                  <c:v>0.34710950000000002</c:v>
                </c:pt>
                <c:pt idx="108">
                  <c:v>0.34918800000000005</c:v>
                </c:pt>
                <c:pt idx="109">
                  <c:v>0.35126650000000004</c:v>
                </c:pt>
                <c:pt idx="110">
                  <c:v>0.35334500000000008</c:v>
                </c:pt>
                <c:pt idx="111">
                  <c:v>0.3554235</c:v>
                </c:pt>
                <c:pt idx="112">
                  <c:v>0.35750199999999999</c:v>
                </c:pt>
                <c:pt idx="113">
                  <c:v>0.35958050000000003</c:v>
                </c:pt>
                <c:pt idx="114">
                  <c:v>0.36165900000000001</c:v>
                </c:pt>
                <c:pt idx="115">
                  <c:v>0.36373749999999999</c:v>
                </c:pt>
                <c:pt idx="116">
                  <c:v>0.36581600000000003</c:v>
                </c:pt>
                <c:pt idx="117">
                  <c:v>0.36789450000000001</c:v>
                </c:pt>
                <c:pt idx="118">
                  <c:v>0.36997300000000005</c:v>
                </c:pt>
                <c:pt idx="119">
                  <c:v>0.37205150000000003</c:v>
                </c:pt>
                <c:pt idx="120">
                  <c:v>0.37413000000000002</c:v>
                </c:pt>
                <c:pt idx="121">
                  <c:v>0.37620850000000006</c:v>
                </c:pt>
                <c:pt idx="122">
                  <c:v>0.37828700000000004</c:v>
                </c:pt>
                <c:pt idx="123">
                  <c:v>0.38036550000000008</c:v>
                </c:pt>
                <c:pt idx="124">
                  <c:v>0.38244400000000006</c:v>
                </c:pt>
                <c:pt idx="125">
                  <c:v>0.38452249999999999</c:v>
                </c:pt>
                <c:pt idx="126">
                  <c:v>0.38660099999999997</c:v>
                </c:pt>
                <c:pt idx="127">
                  <c:v>0.38867950000000001</c:v>
                </c:pt>
                <c:pt idx="128">
                  <c:v>0.39075799999999999</c:v>
                </c:pt>
                <c:pt idx="129">
                  <c:v>0.39283650000000003</c:v>
                </c:pt>
                <c:pt idx="130">
                  <c:v>0.39491500000000002</c:v>
                </c:pt>
                <c:pt idx="131">
                  <c:v>0.3969935</c:v>
                </c:pt>
                <c:pt idx="132">
                  <c:v>0.39907200000000004</c:v>
                </c:pt>
                <c:pt idx="133">
                  <c:v>0.40115050000000002</c:v>
                </c:pt>
                <c:pt idx="134">
                  <c:v>0.40322900000000006</c:v>
                </c:pt>
                <c:pt idx="135">
                  <c:v>0.40530750000000004</c:v>
                </c:pt>
                <c:pt idx="136">
                  <c:v>0.40738600000000003</c:v>
                </c:pt>
                <c:pt idx="137">
                  <c:v>0.40946450000000006</c:v>
                </c:pt>
                <c:pt idx="138">
                  <c:v>0.41154299999999999</c:v>
                </c:pt>
                <c:pt idx="139">
                  <c:v>0.41362149999999998</c:v>
                </c:pt>
                <c:pt idx="140">
                  <c:v>0.41570000000000001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62-4789-8D9A-2E6AF65FE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728719"/>
        <c:axId val="1366706159"/>
      </c:scatterChart>
      <c:valAx>
        <c:axId val="1366728719"/>
        <c:scaling>
          <c:orientation val="minMax"/>
          <c:max val="10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706159"/>
        <c:crosses val="autoZero"/>
        <c:crossBetween val="midCat"/>
        <c:majorUnit val="50"/>
        <c:minorUnit val="10"/>
      </c:valAx>
      <c:valAx>
        <c:axId val="1366706159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Molar Volume (L/mol)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728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Methane:</a:t>
            </a:r>
            <a:r>
              <a:rPr lang="en-US" baseline="0"/>
              <a:t> van der Waals V vs T at 200bar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7821411874707809E-2"/>
                  <c:y val="-2.9538753438952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Data!$F$11:$F$151</c:f>
              <c:numCache>
                <c:formatCode>General</c:formatCode>
                <c:ptCount val="1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  <c:pt idx="41">
                  <c:v>505</c:v>
                </c:pt>
                <c:pt idx="42">
                  <c:v>510</c:v>
                </c:pt>
                <c:pt idx="43">
                  <c:v>515</c:v>
                </c:pt>
                <c:pt idx="44">
                  <c:v>520</c:v>
                </c:pt>
                <c:pt idx="45">
                  <c:v>525</c:v>
                </c:pt>
                <c:pt idx="46">
                  <c:v>530</c:v>
                </c:pt>
                <c:pt idx="47">
                  <c:v>535</c:v>
                </c:pt>
                <c:pt idx="48">
                  <c:v>540</c:v>
                </c:pt>
                <c:pt idx="49">
                  <c:v>545</c:v>
                </c:pt>
                <c:pt idx="50">
                  <c:v>550</c:v>
                </c:pt>
                <c:pt idx="51">
                  <c:v>555</c:v>
                </c:pt>
                <c:pt idx="52">
                  <c:v>560</c:v>
                </c:pt>
                <c:pt idx="53">
                  <c:v>565</c:v>
                </c:pt>
                <c:pt idx="54">
                  <c:v>570</c:v>
                </c:pt>
                <c:pt idx="55">
                  <c:v>575</c:v>
                </c:pt>
                <c:pt idx="56">
                  <c:v>580</c:v>
                </c:pt>
                <c:pt idx="57">
                  <c:v>585</c:v>
                </c:pt>
                <c:pt idx="58">
                  <c:v>590</c:v>
                </c:pt>
                <c:pt idx="59">
                  <c:v>595</c:v>
                </c:pt>
                <c:pt idx="60">
                  <c:v>600</c:v>
                </c:pt>
                <c:pt idx="61">
                  <c:v>605</c:v>
                </c:pt>
                <c:pt idx="62">
                  <c:v>610</c:v>
                </c:pt>
                <c:pt idx="63">
                  <c:v>615</c:v>
                </c:pt>
                <c:pt idx="64">
                  <c:v>620</c:v>
                </c:pt>
                <c:pt idx="65">
                  <c:v>625</c:v>
                </c:pt>
                <c:pt idx="66">
                  <c:v>630</c:v>
                </c:pt>
                <c:pt idx="67">
                  <c:v>635</c:v>
                </c:pt>
                <c:pt idx="68">
                  <c:v>640</c:v>
                </c:pt>
                <c:pt idx="69">
                  <c:v>645</c:v>
                </c:pt>
                <c:pt idx="70">
                  <c:v>650</c:v>
                </c:pt>
                <c:pt idx="71">
                  <c:v>655</c:v>
                </c:pt>
                <c:pt idx="72">
                  <c:v>660</c:v>
                </c:pt>
                <c:pt idx="73">
                  <c:v>665</c:v>
                </c:pt>
                <c:pt idx="74">
                  <c:v>670</c:v>
                </c:pt>
                <c:pt idx="75">
                  <c:v>675</c:v>
                </c:pt>
                <c:pt idx="76">
                  <c:v>680</c:v>
                </c:pt>
                <c:pt idx="77">
                  <c:v>685</c:v>
                </c:pt>
                <c:pt idx="78">
                  <c:v>690</c:v>
                </c:pt>
                <c:pt idx="79">
                  <c:v>695</c:v>
                </c:pt>
                <c:pt idx="80">
                  <c:v>700</c:v>
                </c:pt>
                <c:pt idx="81">
                  <c:v>705</c:v>
                </c:pt>
                <c:pt idx="82">
                  <c:v>710</c:v>
                </c:pt>
                <c:pt idx="83">
                  <c:v>715</c:v>
                </c:pt>
                <c:pt idx="84">
                  <c:v>720</c:v>
                </c:pt>
                <c:pt idx="85">
                  <c:v>725</c:v>
                </c:pt>
                <c:pt idx="86">
                  <c:v>730</c:v>
                </c:pt>
                <c:pt idx="87">
                  <c:v>735</c:v>
                </c:pt>
                <c:pt idx="88">
                  <c:v>740</c:v>
                </c:pt>
                <c:pt idx="89">
                  <c:v>745</c:v>
                </c:pt>
                <c:pt idx="90">
                  <c:v>750</c:v>
                </c:pt>
                <c:pt idx="91">
                  <c:v>755</c:v>
                </c:pt>
                <c:pt idx="92">
                  <c:v>760</c:v>
                </c:pt>
                <c:pt idx="93">
                  <c:v>765</c:v>
                </c:pt>
                <c:pt idx="94">
                  <c:v>770</c:v>
                </c:pt>
                <c:pt idx="95">
                  <c:v>775</c:v>
                </c:pt>
                <c:pt idx="96">
                  <c:v>780</c:v>
                </c:pt>
                <c:pt idx="97">
                  <c:v>785</c:v>
                </c:pt>
                <c:pt idx="98">
                  <c:v>790</c:v>
                </c:pt>
                <c:pt idx="99">
                  <c:v>795</c:v>
                </c:pt>
                <c:pt idx="100">
                  <c:v>800</c:v>
                </c:pt>
                <c:pt idx="101">
                  <c:v>805</c:v>
                </c:pt>
                <c:pt idx="102">
                  <c:v>810</c:v>
                </c:pt>
                <c:pt idx="103">
                  <c:v>815</c:v>
                </c:pt>
                <c:pt idx="104">
                  <c:v>820</c:v>
                </c:pt>
                <c:pt idx="105">
                  <c:v>825</c:v>
                </c:pt>
                <c:pt idx="106">
                  <c:v>830</c:v>
                </c:pt>
                <c:pt idx="107">
                  <c:v>835</c:v>
                </c:pt>
                <c:pt idx="108">
                  <c:v>840</c:v>
                </c:pt>
                <c:pt idx="109">
                  <c:v>845</c:v>
                </c:pt>
                <c:pt idx="110">
                  <c:v>850</c:v>
                </c:pt>
                <c:pt idx="111">
                  <c:v>855</c:v>
                </c:pt>
                <c:pt idx="112">
                  <c:v>860</c:v>
                </c:pt>
                <c:pt idx="113">
                  <c:v>865</c:v>
                </c:pt>
                <c:pt idx="114">
                  <c:v>870</c:v>
                </c:pt>
                <c:pt idx="115">
                  <c:v>875</c:v>
                </c:pt>
                <c:pt idx="116">
                  <c:v>880</c:v>
                </c:pt>
                <c:pt idx="117">
                  <c:v>885</c:v>
                </c:pt>
                <c:pt idx="118">
                  <c:v>890</c:v>
                </c:pt>
                <c:pt idx="119">
                  <c:v>895</c:v>
                </c:pt>
                <c:pt idx="120">
                  <c:v>900</c:v>
                </c:pt>
                <c:pt idx="121">
                  <c:v>905</c:v>
                </c:pt>
                <c:pt idx="122">
                  <c:v>910</c:v>
                </c:pt>
                <c:pt idx="123">
                  <c:v>915</c:v>
                </c:pt>
                <c:pt idx="124">
                  <c:v>920</c:v>
                </c:pt>
                <c:pt idx="125">
                  <c:v>925</c:v>
                </c:pt>
                <c:pt idx="126">
                  <c:v>930</c:v>
                </c:pt>
                <c:pt idx="127">
                  <c:v>935</c:v>
                </c:pt>
                <c:pt idx="128">
                  <c:v>940</c:v>
                </c:pt>
                <c:pt idx="129">
                  <c:v>945</c:v>
                </c:pt>
                <c:pt idx="130">
                  <c:v>950</c:v>
                </c:pt>
                <c:pt idx="131">
                  <c:v>955</c:v>
                </c:pt>
                <c:pt idx="132">
                  <c:v>960</c:v>
                </c:pt>
                <c:pt idx="133">
                  <c:v>965</c:v>
                </c:pt>
                <c:pt idx="134">
                  <c:v>970</c:v>
                </c:pt>
                <c:pt idx="135">
                  <c:v>975</c:v>
                </c:pt>
                <c:pt idx="136">
                  <c:v>980</c:v>
                </c:pt>
                <c:pt idx="137">
                  <c:v>985</c:v>
                </c:pt>
                <c:pt idx="138">
                  <c:v>990</c:v>
                </c:pt>
                <c:pt idx="139">
                  <c:v>995</c:v>
                </c:pt>
                <c:pt idx="140">
                  <c:v>1000</c:v>
                </c:pt>
              </c:numCache>
            </c:numRef>
          </c:xVal>
          <c:yVal>
            <c:numRef>
              <c:f>Data!$L$11:$L$151</c:f>
              <c:numCache>
                <c:formatCode>General</c:formatCode>
                <c:ptCount val="141"/>
                <c:pt idx="0">
                  <c:v>0.10265886146971649</c:v>
                </c:pt>
                <c:pt idx="1">
                  <c:v>0.10520107200062609</c:v>
                </c:pt>
                <c:pt idx="2">
                  <c:v>0.10777981833502311</c:v>
                </c:pt>
                <c:pt idx="3">
                  <c:v>0.11038934532285757</c:v>
                </c:pt>
                <c:pt idx="4">
                  <c:v>0.11302427775606927</c:v>
                </c:pt>
                <c:pt idx="5">
                  <c:v>0.11567957355509537</c:v>
                </c:pt>
                <c:pt idx="6">
                  <c:v>0.11835077264803417</c:v>
                </c:pt>
                <c:pt idx="7">
                  <c:v>0.12103379082102129</c:v>
                </c:pt>
                <c:pt idx="8">
                  <c:v>0.1237250426919433</c:v>
                </c:pt>
                <c:pt idx="9">
                  <c:v>0.12642140369914986</c:v>
                </c:pt>
                <c:pt idx="10">
                  <c:v>0.12912016897210485</c:v>
                </c:pt>
                <c:pt idx="11">
                  <c:v>0.13181904679341472</c:v>
                </c:pt>
                <c:pt idx="12">
                  <c:v>0.13451605952771059</c:v>
                </c:pt>
                <c:pt idx="13">
                  <c:v>0.13720958017251728</c:v>
                </c:pt>
                <c:pt idx="14">
                  <c:v>0.13989825102845657</c:v>
                </c:pt>
                <c:pt idx="15">
                  <c:v>0.14258094612783606</c:v>
                </c:pt>
                <c:pt idx="16">
                  <c:v>0.14525676906431201</c:v>
                </c:pt>
                <c:pt idx="17">
                  <c:v>0.14792496992096021</c:v>
                </c:pt>
                <c:pt idx="18">
                  <c:v>0.1505849932637551</c:v>
                </c:pt>
                <c:pt idx="19">
                  <c:v>0.15323639793052746</c:v>
                </c:pt>
                <c:pt idx="20">
                  <c:v>0.15587885634939086</c:v>
                </c:pt>
                <c:pt idx="21">
                  <c:v>0.1585121328887138</c:v>
                </c:pt>
                <c:pt idx="22">
                  <c:v>0.1611360707965695</c:v>
                </c:pt>
                <c:pt idx="23">
                  <c:v>0.16375058387170069</c:v>
                </c:pt>
                <c:pt idx="24">
                  <c:v>0.16635564285277973</c:v>
                </c:pt>
                <c:pt idx="25">
                  <c:v>0.16895124699787578</c:v>
                </c:pt>
                <c:pt idx="26">
                  <c:v>0.17153745587755923</c:v>
                </c:pt>
                <c:pt idx="27">
                  <c:v>0.17411434746432067</c:v>
                </c:pt>
                <c:pt idx="28">
                  <c:v>0.17668202334772409</c:v>
                </c:pt>
                <c:pt idx="29">
                  <c:v>0.17924061601341654</c:v>
                </c:pt>
                <c:pt idx="30">
                  <c:v>0.18179024964293428</c:v>
                </c:pt>
                <c:pt idx="31">
                  <c:v>0.18433109155322033</c:v>
                </c:pt>
                <c:pt idx="32">
                  <c:v>0.18686330026747083</c:v>
                </c:pt>
                <c:pt idx="33">
                  <c:v>0.18938704233192649</c:v>
                </c:pt>
                <c:pt idx="34">
                  <c:v>0.1919024933631362</c:v>
                </c:pt>
                <c:pt idx="35">
                  <c:v>0.19440983042112309</c:v>
                </c:pt>
                <c:pt idx="36">
                  <c:v>0.19690923255817866</c:v>
                </c:pt>
                <c:pt idx="37">
                  <c:v>0.19940087879891547</c:v>
                </c:pt>
                <c:pt idx="38">
                  <c:v>0.20188494725314216</c:v>
                </c:pt>
                <c:pt idx="39">
                  <c:v>0.20436161957964979</c:v>
                </c:pt>
                <c:pt idx="40">
                  <c:v>0.20683106920209782</c:v>
                </c:pt>
                <c:pt idx="41">
                  <c:v>0.20929347028603307</c:v>
                </c:pt>
                <c:pt idx="42">
                  <c:v>0.21174899426985755</c:v>
                </c:pt>
                <c:pt idx="43">
                  <c:v>0.2141978090964162</c:v>
                </c:pt>
                <c:pt idx="44">
                  <c:v>0.2166400797354078</c:v>
                </c:pt>
                <c:pt idx="45">
                  <c:v>0.21907596756122319</c:v>
                </c:pt>
                <c:pt idx="46">
                  <c:v>0.22150563022062542</c:v>
                </c:pt>
                <c:pt idx="47">
                  <c:v>0.22392922166514567</c:v>
                </c:pt>
                <c:pt idx="48">
                  <c:v>0.22634689202978367</c:v>
                </c:pt>
                <c:pt idx="49">
                  <c:v>0.22875878573728411</c:v>
                </c:pt>
                <c:pt idx="50">
                  <c:v>0.23116504806148505</c:v>
                </c:pt>
                <c:pt idx="51">
                  <c:v>0.23356581645894975</c:v>
                </c:pt>
                <c:pt idx="52">
                  <c:v>0.23596122572700487</c:v>
                </c:pt>
                <c:pt idx="53">
                  <c:v>0.23835140299016033</c:v>
                </c:pt>
                <c:pt idx="54">
                  <c:v>0.2407364817658626</c:v>
                </c:pt>
                <c:pt idx="55">
                  <c:v>0.24311658314951085</c:v>
                </c:pt>
                <c:pt idx="56">
                  <c:v>0.24549182728319038</c:v>
                </c:pt>
                <c:pt idx="57">
                  <c:v>0.24786233083579468</c:v>
                </c:pt>
                <c:pt idx="58">
                  <c:v>0.2502282070857535</c:v>
                </c:pt>
                <c:pt idx="59">
                  <c:v>0.25258956600659782</c:v>
                </c:pt>
                <c:pt idx="60">
                  <c:v>0.25494651435439891</c:v>
                </c:pt>
                <c:pt idx="61">
                  <c:v>0.2572991544457281</c:v>
                </c:pt>
                <c:pt idx="62">
                  <c:v>0.25964758923769077</c:v>
                </c:pt>
                <c:pt idx="63">
                  <c:v>0.26199191625132462</c:v>
                </c:pt>
                <c:pt idx="64">
                  <c:v>0.26433222854441957</c:v>
                </c:pt>
                <c:pt idx="65">
                  <c:v>0.26666861889221022</c:v>
                </c:pt>
                <c:pt idx="66">
                  <c:v>0.2690011766031376</c:v>
                </c:pt>
                <c:pt idx="67">
                  <c:v>0.2713299883797029</c:v>
                </c:pt>
                <c:pt idx="68">
                  <c:v>0.27365513840107225</c:v>
                </c:pt>
                <c:pt idx="69">
                  <c:v>0.275976708403815</c:v>
                </c:pt>
                <c:pt idx="70">
                  <c:v>0.2782947767012468</c:v>
                </c:pt>
                <c:pt idx="71">
                  <c:v>0.28060942355724727</c:v>
                </c:pt>
                <c:pt idx="72">
                  <c:v>0.28292072066663143</c:v>
                </c:pt>
                <c:pt idx="73">
                  <c:v>0.28522873822394595</c:v>
                </c:pt>
                <c:pt idx="74">
                  <c:v>0.28753355376126782</c:v>
                </c:pt>
                <c:pt idx="75">
                  <c:v>0.28983523274458106</c:v>
                </c:pt>
                <c:pt idx="76">
                  <c:v>0.29213384514245999</c:v>
                </c:pt>
                <c:pt idx="77">
                  <c:v>0.29442944590566539</c:v>
                </c:pt>
                <c:pt idx="78">
                  <c:v>0.29672210798727772</c:v>
                </c:pt>
                <c:pt idx="79">
                  <c:v>0.29901188938133821</c:v>
                </c:pt>
                <c:pt idx="80">
                  <c:v>0.30129885397561273</c:v>
                </c:pt>
                <c:pt idx="81">
                  <c:v>0.30358305138362579</c:v>
                </c:pt>
                <c:pt idx="82">
                  <c:v>0.30586454203898383</c:v>
                </c:pt>
                <c:pt idx="83">
                  <c:v>0.30814337590509827</c:v>
                </c:pt>
                <c:pt idx="84">
                  <c:v>0.31041961595628492</c:v>
                </c:pt>
                <c:pt idx="85">
                  <c:v>0.31269330942537621</c:v>
                </c:pt>
                <c:pt idx="86">
                  <c:v>0.31496451141425386</c:v>
                </c:pt>
                <c:pt idx="87">
                  <c:v>0.31723325743388875</c:v>
                </c:pt>
                <c:pt idx="88">
                  <c:v>0.31949960912861652</c:v>
                </c:pt>
                <c:pt idx="89">
                  <c:v>0.32176360855503783</c:v>
                </c:pt>
                <c:pt idx="90">
                  <c:v>0.32402530114715933</c:v>
                </c:pt>
                <c:pt idx="91">
                  <c:v>0.32628473116109041</c:v>
                </c:pt>
                <c:pt idx="92">
                  <c:v>0.32854194718892754</c:v>
                </c:pt>
                <c:pt idx="93">
                  <c:v>0.3307969748124589</c:v>
                </c:pt>
                <c:pt idx="94">
                  <c:v>0.33304987140266729</c:v>
                </c:pt>
                <c:pt idx="95">
                  <c:v>0.33530067703019223</c:v>
                </c:pt>
                <c:pt idx="96">
                  <c:v>0.3375494136717051</c:v>
                </c:pt>
                <c:pt idx="97">
                  <c:v>0.3397961361812406</c:v>
                </c:pt>
                <c:pt idx="98">
                  <c:v>0.34204088149159084</c:v>
                </c:pt>
                <c:pt idx="99">
                  <c:v>0.34428366891176737</c:v>
                </c:pt>
                <c:pt idx="100">
                  <c:v>0.34652455041219971</c:v>
                </c:pt>
                <c:pt idx="101">
                  <c:v>0.34876355470439496</c:v>
                </c:pt>
                <c:pt idx="102">
                  <c:v>0.35100072111423608</c:v>
                </c:pt>
                <c:pt idx="103">
                  <c:v>0.35323606487185377</c:v>
                </c:pt>
                <c:pt idx="104">
                  <c:v>0.35546964114014956</c:v>
                </c:pt>
                <c:pt idx="105">
                  <c:v>0.35770146360532284</c:v>
                </c:pt>
                <c:pt idx="106">
                  <c:v>0.35993156279778449</c:v>
                </c:pt>
                <c:pt idx="107">
                  <c:v>0.36215997988593007</c:v>
                </c:pt>
                <c:pt idx="108">
                  <c:v>0.3643867381088795</c:v>
                </c:pt>
                <c:pt idx="109">
                  <c:v>0.36661187117479588</c:v>
                </c:pt>
                <c:pt idx="110">
                  <c:v>0.36883539059775983</c:v>
                </c:pt>
                <c:pt idx="111">
                  <c:v>0.37105733956511427</c:v>
                </c:pt>
                <c:pt idx="112">
                  <c:v>0.37327773910732331</c:v>
                </c:pt>
                <c:pt idx="113">
                  <c:v>0.37549661503984016</c:v>
                </c:pt>
                <c:pt idx="114">
                  <c:v>0.37771399703732644</c:v>
                </c:pt>
                <c:pt idx="115">
                  <c:v>0.37992990063114579</c:v>
                </c:pt>
                <c:pt idx="116">
                  <c:v>0.38214435460998625</c:v>
                </c:pt>
                <c:pt idx="117">
                  <c:v>0.38435738255516599</c:v>
                </c:pt>
                <c:pt idx="118">
                  <c:v>0.38656900752796297</c:v>
                </c:pt>
                <c:pt idx="119">
                  <c:v>0.38877925208401271</c:v>
                </c:pt>
                <c:pt idx="120">
                  <c:v>0.39098813564960527</c:v>
                </c:pt>
                <c:pt idx="121">
                  <c:v>0.39319568545359623</c:v>
                </c:pt>
                <c:pt idx="122">
                  <c:v>0.39540191962903448</c:v>
                </c:pt>
                <c:pt idx="123">
                  <c:v>0.39760685961611292</c:v>
                </c:pt>
                <c:pt idx="124">
                  <c:v>0.39981052387306559</c:v>
                </c:pt>
                <c:pt idx="125">
                  <c:v>0.40201293318806403</c:v>
                </c:pt>
                <c:pt idx="126">
                  <c:v>0.40421410780481543</c:v>
                </c:pt>
                <c:pt idx="127">
                  <c:v>0.40641406748445541</c:v>
                </c:pt>
                <c:pt idx="128">
                  <c:v>0.40861282415898892</c:v>
                </c:pt>
                <c:pt idx="129">
                  <c:v>0.41081040405885988</c:v>
                </c:pt>
                <c:pt idx="130">
                  <c:v>0.41300682197398719</c:v>
                </c:pt>
                <c:pt idx="131">
                  <c:v>0.41520209424239929</c:v>
                </c:pt>
                <c:pt idx="132">
                  <c:v>0.41739623995406638</c:v>
                </c:pt>
                <c:pt idx="133">
                  <c:v>0.41958927498540538</c:v>
                </c:pt>
                <c:pt idx="134">
                  <c:v>0.42178121575043398</c:v>
                </c:pt>
                <c:pt idx="135">
                  <c:v>0.42397207833395995</c:v>
                </c:pt>
                <c:pt idx="136">
                  <c:v>0.42616187849990983</c:v>
                </c:pt>
                <c:pt idx="137">
                  <c:v>0.42835063169940479</c:v>
                </c:pt>
                <c:pt idx="138">
                  <c:v>0.43053835307859284</c:v>
                </c:pt>
                <c:pt idx="139">
                  <c:v>0.43272505748624512</c:v>
                </c:pt>
                <c:pt idx="140">
                  <c:v>0.43491076624417491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C7-4C28-BD6A-E743B988D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29903"/>
        <c:axId val="183852639"/>
      </c:scatterChart>
      <c:valAx>
        <c:axId val="180129903"/>
        <c:scaling>
          <c:orientation val="minMax"/>
          <c:max val="10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(T)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52639"/>
        <c:crosses val="autoZero"/>
        <c:crossBetween val="midCat"/>
        <c:majorUnit val="50"/>
      </c:valAx>
      <c:valAx>
        <c:axId val="18385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Molar Volume (L/mol)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29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Methane:</a:t>
            </a:r>
            <a:r>
              <a:rPr lang="en-US" baseline="0"/>
              <a:t> Redlich Kwong V vs T at 200bar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9268204868571135E-2"/>
                  <c:y val="-2.04850443916822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Data!$F$11:$F$151</c:f>
              <c:numCache>
                <c:formatCode>General</c:formatCode>
                <c:ptCount val="1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  <c:pt idx="41">
                  <c:v>505</c:v>
                </c:pt>
                <c:pt idx="42">
                  <c:v>510</c:v>
                </c:pt>
                <c:pt idx="43">
                  <c:v>515</c:v>
                </c:pt>
                <c:pt idx="44">
                  <c:v>520</c:v>
                </c:pt>
                <c:pt idx="45">
                  <c:v>525</c:v>
                </c:pt>
                <c:pt idx="46">
                  <c:v>530</c:v>
                </c:pt>
                <c:pt idx="47">
                  <c:v>535</c:v>
                </c:pt>
                <c:pt idx="48">
                  <c:v>540</c:v>
                </c:pt>
                <c:pt idx="49">
                  <c:v>545</c:v>
                </c:pt>
                <c:pt idx="50">
                  <c:v>550</c:v>
                </c:pt>
                <c:pt idx="51">
                  <c:v>555</c:v>
                </c:pt>
                <c:pt idx="52">
                  <c:v>560</c:v>
                </c:pt>
                <c:pt idx="53">
                  <c:v>565</c:v>
                </c:pt>
                <c:pt idx="54">
                  <c:v>570</c:v>
                </c:pt>
                <c:pt idx="55">
                  <c:v>575</c:v>
                </c:pt>
                <c:pt idx="56">
                  <c:v>580</c:v>
                </c:pt>
                <c:pt idx="57">
                  <c:v>585</c:v>
                </c:pt>
                <c:pt idx="58">
                  <c:v>590</c:v>
                </c:pt>
                <c:pt idx="59">
                  <c:v>595</c:v>
                </c:pt>
                <c:pt idx="60">
                  <c:v>600</c:v>
                </c:pt>
                <c:pt idx="61">
                  <c:v>605</c:v>
                </c:pt>
                <c:pt idx="62">
                  <c:v>610</c:v>
                </c:pt>
                <c:pt idx="63">
                  <c:v>615</c:v>
                </c:pt>
                <c:pt idx="64">
                  <c:v>620</c:v>
                </c:pt>
                <c:pt idx="65">
                  <c:v>625</c:v>
                </c:pt>
                <c:pt idx="66">
                  <c:v>630</c:v>
                </c:pt>
                <c:pt idx="67">
                  <c:v>635</c:v>
                </c:pt>
                <c:pt idx="68">
                  <c:v>640</c:v>
                </c:pt>
                <c:pt idx="69">
                  <c:v>645</c:v>
                </c:pt>
                <c:pt idx="70">
                  <c:v>650</c:v>
                </c:pt>
                <c:pt idx="71">
                  <c:v>655</c:v>
                </c:pt>
                <c:pt idx="72">
                  <c:v>660</c:v>
                </c:pt>
                <c:pt idx="73">
                  <c:v>665</c:v>
                </c:pt>
                <c:pt idx="74">
                  <c:v>670</c:v>
                </c:pt>
                <c:pt idx="75">
                  <c:v>675</c:v>
                </c:pt>
                <c:pt idx="76">
                  <c:v>680</c:v>
                </c:pt>
                <c:pt idx="77">
                  <c:v>685</c:v>
                </c:pt>
                <c:pt idx="78">
                  <c:v>690</c:v>
                </c:pt>
                <c:pt idx="79">
                  <c:v>695</c:v>
                </c:pt>
                <c:pt idx="80">
                  <c:v>700</c:v>
                </c:pt>
                <c:pt idx="81">
                  <c:v>705</c:v>
                </c:pt>
                <c:pt idx="82">
                  <c:v>710</c:v>
                </c:pt>
                <c:pt idx="83">
                  <c:v>715</c:v>
                </c:pt>
                <c:pt idx="84">
                  <c:v>720</c:v>
                </c:pt>
                <c:pt idx="85">
                  <c:v>725</c:v>
                </c:pt>
                <c:pt idx="86">
                  <c:v>730</c:v>
                </c:pt>
                <c:pt idx="87">
                  <c:v>735</c:v>
                </c:pt>
                <c:pt idx="88">
                  <c:v>740</c:v>
                </c:pt>
                <c:pt idx="89">
                  <c:v>745</c:v>
                </c:pt>
                <c:pt idx="90">
                  <c:v>750</c:v>
                </c:pt>
                <c:pt idx="91">
                  <c:v>755</c:v>
                </c:pt>
                <c:pt idx="92">
                  <c:v>760</c:v>
                </c:pt>
                <c:pt idx="93">
                  <c:v>765</c:v>
                </c:pt>
                <c:pt idx="94">
                  <c:v>770</c:v>
                </c:pt>
                <c:pt idx="95">
                  <c:v>775</c:v>
                </c:pt>
                <c:pt idx="96">
                  <c:v>780</c:v>
                </c:pt>
                <c:pt idx="97">
                  <c:v>785</c:v>
                </c:pt>
                <c:pt idx="98">
                  <c:v>790</c:v>
                </c:pt>
                <c:pt idx="99">
                  <c:v>795</c:v>
                </c:pt>
                <c:pt idx="100">
                  <c:v>800</c:v>
                </c:pt>
                <c:pt idx="101">
                  <c:v>805</c:v>
                </c:pt>
                <c:pt idx="102">
                  <c:v>810</c:v>
                </c:pt>
                <c:pt idx="103">
                  <c:v>815</c:v>
                </c:pt>
                <c:pt idx="104">
                  <c:v>820</c:v>
                </c:pt>
                <c:pt idx="105">
                  <c:v>825</c:v>
                </c:pt>
                <c:pt idx="106">
                  <c:v>830</c:v>
                </c:pt>
                <c:pt idx="107">
                  <c:v>835</c:v>
                </c:pt>
                <c:pt idx="108">
                  <c:v>840</c:v>
                </c:pt>
                <c:pt idx="109">
                  <c:v>845</c:v>
                </c:pt>
                <c:pt idx="110">
                  <c:v>850</c:v>
                </c:pt>
                <c:pt idx="111">
                  <c:v>855</c:v>
                </c:pt>
                <c:pt idx="112">
                  <c:v>860</c:v>
                </c:pt>
                <c:pt idx="113">
                  <c:v>865</c:v>
                </c:pt>
                <c:pt idx="114">
                  <c:v>870</c:v>
                </c:pt>
                <c:pt idx="115">
                  <c:v>875</c:v>
                </c:pt>
                <c:pt idx="116">
                  <c:v>880</c:v>
                </c:pt>
                <c:pt idx="117">
                  <c:v>885</c:v>
                </c:pt>
                <c:pt idx="118">
                  <c:v>890</c:v>
                </c:pt>
                <c:pt idx="119">
                  <c:v>895</c:v>
                </c:pt>
                <c:pt idx="120">
                  <c:v>900</c:v>
                </c:pt>
                <c:pt idx="121">
                  <c:v>905</c:v>
                </c:pt>
                <c:pt idx="122">
                  <c:v>910</c:v>
                </c:pt>
                <c:pt idx="123">
                  <c:v>915</c:v>
                </c:pt>
                <c:pt idx="124">
                  <c:v>920</c:v>
                </c:pt>
                <c:pt idx="125">
                  <c:v>925</c:v>
                </c:pt>
                <c:pt idx="126">
                  <c:v>930</c:v>
                </c:pt>
                <c:pt idx="127">
                  <c:v>935</c:v>
                </c:pt>
                <c:pt idx="128">
                  <c:v>940</c:v>
                </c:pt>
                <c:pt idx="129">
                  <c:v>945</c:v>
                </c:pt>
                <c:pt idx="130">
                  <c:v>950</c:v>
                </c:pt>
                <c:pt idx="131">
                  <c:v>955</c:v>
                </c:pt>
                <c:pt idx="132">
                  <c:v>960</c:v>
                </c:pt>
                <c:pt idx="133">
                  <c:v>965</c:v>
                </c:pt>
                <c:pt idx="134">
                  <c:v>970</c:v>
                </c:pt>
                <c:pt idx="135">
                  <c:v>975</c:v>
                </c:pt>
                <c:pt idx="136">
                  <c:v>980</c:v>
                </c:pt>
                <c:pt idx="137">
                  <c:v>985</c:v>
                </c:pt>
                <c:pt idx="138">
                  <c:v>990</c:v>
                </c:pt>
                <c:pt idx="139">
                  <c:v>995</c:v>
                </c:pt>
                <c:pt idx="140">
                  <c:v>1000</c:v>
                </c:pt>
              </c:numCache>
            </c:numRef>
          </c:xVal>
          <c:yVal>
            <c:numRef>
              <c:f>Data!$O$11:$O$151</c:f>
              <c:numCache>
                <c:formatCode>General</c:formatCode>
                <c:ptCount val="141"/>
                <c:pt idx="0">
                  <c:v>0.10523690081603879</c:v>
                </c:pt>
                <c:pt idx="1">
                  <c:v>0.10826370679400109</c:v>
                </c:pt>
                <c:pt idx="2">
                  <c:v>0.11127374634055386</c:v>
                </c:pt>
                <c:pt idx="3">
                  <c:v>0.11426481716739476</c:v>
                </c:pt>
                <c:pt idx="4">
                  <c:v>0.11723531958945228</c:v>
                </c:pt>
                <c:pt idx="5">
                  <c:v>0.12018422574375533</c:v>
                </c:pt>
                <c:pt idx="6">
                  <c:v>0.12311090797408913</c:v>
                </c:pt>
                <c:pt idx="7">
                  <c:v>0.12601505673749455</c:v>
                </c:pt>
                <c:pt idx="8">
                  <c:v>0.12889664468323486</c:v>
                </c:pt>
                <c:pt idx="9">
                  <c:v>0.13175579379934182</c:v>
                </c:pt>
                <c:pt idx="10">
                  <c:v>0.13459282501778819</c:v>
                </c:pt>
                <c:pt idx="11">
                  <c:v>0.13740814384256322</c:v>
                </c:pt>
                <c:pt idx="12">
                  <c:v>0.14020225605005407</c:v>
                </c:pt>
                <c:pt idx="13">
                  <c:v>0.14297571120773386</c:v>
                </c:pt>
                <c:pt idx="14">
                  <c:v>0.14572908453588754</c:v>
                </c:pt>
                <c:pt idx="15">
                  <c:v>0.14846299298518664</c:v>
                </c:pt>
                <c:pt idx="16">
                  <c:v>0.15117806319554389</c:v>
                </c:pt>
                <c:pt idx="17">
                  <c:v>0.15387492555664065</c:v>
                </c:pt>
                <c:pt idx="18">
                  <c:v>0.15655419235234833</c:v>
                </c:pt>
                <c:pt idx="19">
                  <c:v>0.1592164851989675</c:v>
                </c:pt>
                <c:pt idx="20">
                  <c:v>0.16186241021877604</c:v>
                </c:pt>
                <c:pt idx="21">
                  <c:v>0.16449255208035074</c:v>
                </c:pt>
                <c:pt idx="22">
                  <c:v>0.16710748298846573</c:v>
                </c:pt>
                <c:pt idx="23">
                  <c:v>0.16970775550592399</c:v>
                </c:pt>
                <c:pt idx="24">
                  <c:v>0.17229390493251109</c:v>
                </c:pt>
                <c:pt idx="25">
                  <c:v>0.17486644526414949</c:v>
                </c:pt>
                <c:pt idx="26">
                  <c:v>0.17742587222412498</c:v>
                </c:pt>
                <c:pt idx="27">
                  <c:v>0.17997266223906189</c:v>
                </c:pt>
                <c:pt idx="28">
                  <c:v>0.18250727272660527</c:v>
                </c:pt>
                <c:pt idx="29">
                  <c:v>0.18503014129885575</c:v>
                </c:pt>
                <c:pt idx="30">
                  <c:v>0.18754168962549819</c:v>
                </c:pt>
                <c:pt idx="31">
                  <c:v>0.19004232038356936</c:v>
                </c:pt>
                <c:pt idx="32">
                  <c:v>0.19253241958311593</c:v>
                </c:pt>
                <c:pt idx="33">
                  <c:v>0.19501235695690303</c:v>
                </c:pt>
                <c:pt idx="34">
                  <c:v>0.19748248655883283</c:v>
                </c:pt>
                <c:pt idx="35">
                  <c:v>0.19994314631442728</c:v>
                </c:pt>
                <c:pt idx="36">
                  <c:v>0.20239466412781001</c:v>
                </c:pt>
                <c:pt idx="37">
                  <c:v>0.20483734571963341</c:v>
                </c:pt>
                <c:pt idx="38">
                  <c:v>0.20727149318768989</c:v>
                </c:pt>
                <c:pt idx="39">
                  <c:v>0.20969739024925277</c:v>
                </c:pt>
                <c:pt idx="40">
                  <c:v>0.21211531320284452</c:v>
                </c:pt>
                <c:pt idx="41">
                  <c:v>0.21452551454820437</c:v>
                </c:pt>
                <c:pt idx="42">
                  <c:v>0.21692825822601286</c:v>
                </c:pt>
                <c:pt idx="43">
                  <c:v>0.21932377042822795</c:v>
                </c:pt>
                <c:pt idx="44">
                  <c:v>0.22171229711971568</c:v>
                </c:pt>
                <c:pt idx="45">
                  <c:v>0.22409404359651527</c:v>
                </c:pt>
                <c:pt idx="46">
                  <c:v>0.2264692343231601</c:v>
                </c:pt>
                <c:pt idx="47">
                  <c:v>0.22883806896006906</c:v>
                </c:pt>
                <c:pt idx="48">
                  <c:v>0.23120074309051999</c:v>
                </c:pt>
                <c:pt idx="49">
                  <c:v>0.23355744453918797</c:v>
                </c:pt>
                <c:pt idx="50">
                  <c:v>0.23590835373629068</c:v>
                </c:pt>
                <c:pt idx="51">
                  <c:v>0.23825364431183607</c:v>
                </c:pt>
                <c:pt idx="52">
                  <c:v>0.24059348265826747</c:v>
                </c:pt>
                <c:pt idx="53">
                  <c:v>0.24292802859583912</c:v>
                </c:pt>
                <c:pt idx="54">
                  <c:v>0.24525744067625668</c:v>
                </c:pt>
                <c:pt idx="55">
                  <c:v>0.24758185614904157</c:v>
                </c:pt>
                <c:pt idx="56">
                  <c:v>0.2499014284222815</c:v>
                </c:pt>
                <c:pt idx="57">
                  <c:v>0.25221629967213638</c:v>
                </c:pt>
                <c:pt idx="58">
                  <c:v>0.25452658733041489</c:v>
                </c:pt>
                <c:pt idx="59">
                  <c:v>0.25683242555249763</c:v>
                </c:pt>
                <c:pt idx="60">
                  <c:v>0.25913393720134731</c:v>
                </c:pt>
                <c:pt idx="61">
                  <c:v>0.26143122461633522</c:v>
                </c:pt>
                <c:pt idx="62">
                  <c:v>0.26372443228439302</c:v>
                </c:pt>
                <c:pt idx="63">
                  <c:v>0.26601365616329303</c:v>
                </c:pt>
                <c:pt idx="64">
                  <c:v>0.26829900254408295</c:v>
                </c:pt>
                <c:pt idx="65">
                  <c:v>0.27058057401159513</c:v>
                </c:pt>
                <c:pt idx="66">
                  <c:v>0.27285847258815199</c:v>
                </c:pt>
                <c:pt idx="67">
                  <c:v>0.27513278495651639</c:v>
                </c:pt>
                <c:pt idx="68">
                  <c:v>0.27740361245771439</c:v>
                </c:pt>
                <c:pt idx="69">
                  <c:v>0.27967104137213455</c:v>
                </c:pt>
                <c:pt idx="70">
                  <c:v>0.28193515797628421</c:v>
                </c:pt>
                <c:pt idx="71">
                  <c:v>0.28419604568036277</c:v>
                </c:pt>
                <c:pt idx="72">
                  <c:v>0.2864537896323146</c:v>
                </c:pt>
                <c:pt idx="73">
                  <c:v>0.28870845439472992</c:v>
                </c:pt>
                <c:pt idx="74">
                  <c:v>0.29096013390011422</c:v>
                </c:pt>
                <c:pt idx="75">
                  <c:v>0.29320888700661418</c:v>
                </c:pt>
                <c:pt idx="76">
                  <c:v>0.2954547891761109</c:v>
                </c:pt>
                <c:pt idx="77">
                  <c:v>0.29769790319358164</c:v>
                </c:pt>
                <c:pt idx="78">
                  <c:v>0.29993830655756842</c:v>
                </c:pt>
                <c:pt idx="79">
                  <c:v>0.30217606423142102</c:v>
                </c:pt>
                <c:pt idx="80">
                  <c:v>0.30441121998859672</c:v>
                </c:pt>
                <c:pt idx="81">
                  <c:v>0.30664385268131961</c:v>
                </c:pt>
                <c:pt idx="82">
                  <c:v>0.30887401465753445</c:v>
                </c:pt>
                <c:pt idx="83">
                  <c:v>0.31110176265823336</c:v>
                </c:pt>
                <c:pt idx="84">
                  <c:v>0.31332715171822895</c:v>
                </c:pt>
                <c:pt idx="85">
                  <c:v>0.31555023522956255</c:v>
                </c:pt>
                <c:pt idx="86">
                  <c:v>0.31777106500212132</c:v>
                </c:pt>
                <c:pt idx="87">
                  <c:v>0.3199896991932385</c:v>
                </c:pt>
                <c:pt idx="88">
                  <c:v>0.32220616300497018</c:v>
                </c:pt>
                <c:pt idx="89">
                  <c:v>0.32442052745349276</c:v>
                </c:pt>
                <c:pt idx="90">
                  <c:v>0.32663283070354177</c:v>
                </c:pt>
                <c:pt idx="91">
                  <c:v>0.32884311747520123</c:v>
                </c:pt>
                <c:pt idx="92">
                  <c:v>0.33105143121883163</c:v>
                </c:pt>
                <c:pt idx="93">
                  <c:v>0.33325781415967515</c:v>
                </c:pt>
                <c:pt idx="94">
                  <c:v>0.33546230734059901</c:v>
                </c:pt>
                <c:pt idx="95">
                  <c:v>0.33766495997443208</c:v>
                </c:pt>
                <c:pt idx="96">
                  <c:v>0.339865782926419</c:v>
                </c:pt>
                <c:pt idx="97">
                  <c:v>0.34206484186555225</c:v>
                </c:pt>
                <c:pt idx="98">
                  <c:v>0.34426216418705835</c:v>
                </c:pt>
                <c:pt idx="99">
                  <c:v>0.34645778560390933</c:v>
                </c:pt>
                <c:pt idx="100">
                  <c:v>0.34865174086874778</c:v>
                </c:pt>
                <c:pt idx="101">
                  <c:v>0.35084406380585015</c:v>
                </c:pt>
                <c:pt idx="102">
                  <c:v>0.35303478734182403</c:v>
                </c:pt>
                <c:pt idx="103">
                  <c:v>0.35522394353509584</c:v>
                </c:pt>
                <c:pt idx="104">
                  <c:v>0.35741156360424614</c:v>
                </c:pt>
                <c:pt idx="105">
                  <c:v>0.35959767795524306</c:v>
                </c:pt>
                <c:pt idx="106">
                  <c:v>0.3617823162076238</c:v>
                </c:pt>
                <c:pt idx="107">
                  <c:v>0.36396550721967108</c:v>
                </c:pt>
                <c:pt idx="108">
                  <c:v>0.36614729023604331</c:v>
                </c:pt>
                <c:pt idx="109">
                  <c:v>0.36832765929400685</c:v>
                </c:pt>
                <c:pt idx="110">
                  <c:v>0.37050667447998825</c:v>
                </c:pt>
                <c:pt idx="111">
                  <c:v>0.37268435071702488</c:v>
                </c:pt>
                <c:pt idx="112">
                  <c:v>0.37486071340260879</c:v>
                </c:pt>
                <c:pt idx="113">
                  <c:v>0.37703579897725958</c:v>
                </c:pt>
                <c:pt idx="114">
                  <c:v>0.37920959658391951</c:v>
                </c:pt>
                <c:pt idx="115">
                  <c:v>0.38138217667779367</c:v>
                </c:pt>
                <c:pt idx="116">
                  <c:v>0.38355352693420497</c:v>
                </c:pt>
                <c:pt idx="117">
                  <c:v>0.38572368156491654</c:v>
                </c:pt>
                <c:pt idx="118">
                  <c:v>0.38789266246926568</c:v>
                </c:pt>
                <c:pt idx="119">
                  <c:v>0.39006047878407824</c:v>
                </c:pt>
                <c:pt idx="120">
                  <c:v>0.39222717577029326</c:v>
                </c:pt>
                <c:pt idx="121">
                  <c:v>0.39439276165212422</c:v>
                </c:pt>
                <c:pt idx="122">
                  <c:v>0.39655725632635874</c:v>
                </c:pt>
                <c:pt idx="123">
                  <c:v>0.39872067922519139</c:v>
                </c:pt>
                <c:pt idx="124">
                  <c:v>0.40088304932964169</c:v>
                </c:pt>
                <c:pt idx="125">
                  <c:v>0.40304438518251001</c:v>
                </c:pt>
                <c:pt idx="126">
                  <c:v>0.40520471769235261</c:v>
                </c:pt>
                <c:pt idx="127">
                  <c:v>0.40736402618825374</c:v>
                </c:pt>
                <c:pt idx="128">
                  <c:v>0.40952236634613076</c:v>
                </c:pt>
                <c:pt idx="129">
                  <c:v>0.41167974228538978</c:v>
                </c:pt>
                <c:pt idx="130">
                  <c:v>0.41383618359751756</c:v>
                </c:pt>
                <c:pt idx="131">
                  <c:v>0.41599166726330478</c:v>
                </c:pt>
                <c:pt idx="132">
                  <c:v>0.41814624826675345</c:v>
                </c:pt>
                <c:pt idx="133">
                  <c:v>0.42029992900122193</c:v>
                </c:pt>
                <c:pt idx="134">
                  <c:v>0.42245272458081734</c:v>
                </c:pt>
                <c:pt idx="135">
                  <c:v>0.42460464978924922</c:v>
                </c:pt>
                <c:pt idx="136">
                  <c:v>0.42675571908875576</c:v>
                </c:pt>
                <c:pt idx="137">
                  <c:v>0.42890594662874254</c:v>
                </c:pt>
                <c:pt idx="138">
                  <c:v>0.43105534625414421</c:v>
                </c:pt>
                <c:pt idx="139">
                  <c:v>0.43320393151352049</c:v>
                </c:pt>
                <c:pt idx="140">
                  <c:v>0.43535172927154947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BC-4411-83F2-86C816ED0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596047"/>
        <c:axId val="181619359"/>
      </c:scatterChart>
      <c:valAx>
        <c:axId val="1622596047"/>
        <c:scaling>
          <c:orientation val="minMax"/>
          <c:max val="10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19359"/>
        <c:crosses val="autoZero"/>
        <c:crossBetween val="midCat"/>
        <c:majorUnit val="50"/>
      </c:valAx>
      <c:valAx>
        <c:axId val="18161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Molar Volume (L/mol)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596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Methane: SRK V vs T at 200bar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08450704225352E-2"/>
                  <c:y val="-5.937478154213774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Data!$F$11:$F$151</c:f>
              <c:numCache>
                <c:formatCode>General</c:formatCode>
                <c:ptCount val="1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  <c:pt idx="41">
                  <c:v>505</c:v>
                </c:pt>
                <c:pt idx="42">
                  <c:v>510</c:v>
                </c:pt>
                <c:pt idx="43">
                  <c:v>515</c:v>
                </c:pt>
                <c:pt idx="44">
                  <c:v>520</c:v>
                </c:pt>
                <c:pt idx="45">
                  <c:v>525</c:v>
                </c:pt>
                <c:pt idx="46">
                  <c:v>530</c:v>
                </c:pt>
                <c:pt idx="47">
                  <c:v>535</c:v>
                </c:pt>
                <c:pt idx="48">
                  <c:v>540</c:v>
                </c:pt>
                <c:pt idx="49">
                  <c:v>545</c:v>
                </c:pt>
                <c:pt idx="50">
                  <c:v>550</c:v>
                </c:pt>
                <c:pt idx="51">
                  <c:v>555</c:v>
                </c:pt>
                <c:pt idx="52">
                  <c:v>560</c:v>
                </c:pt>
                <c:pt idx="53">
                  <c:v>565</c:v>
                </c:pt>
                <c:pt idx="54">
                  <c:v>570</c:v>
                </c:pt>
                <c:pt idx="55">
                  <c:v>575</c:v>
                </c:pt>
                <c:pt idx="56">
                  <c:v>580</c:v>
                </c:pt>
                <c:pt idx="57">
                  <c:v>585</c:v>
                </c:pt>
                <c:pt idx="58">
                  <c:v>590</c:v>
                </c:pt>
                <c:pt idx="59">
                  <c:v>595</c:v>
                </c:pt>
                <c:pt idx="60">
                  <c:v>600</c:v>
                </c:pt>
                <c:pt idx="61">
                  <c:v>605</c:v>
                </c:pt>
                <c:pt idx="62">
                  <c:v>610</c:v>
                </c:pt>
                <c:pt idx="63">
                  <c:v>615</c:v>
                </c:pt>
                <c:pt idx="64">
                  <c:v>620</c:v>
                </c:pt>
                <c:pt idx="65">
                  <c:v>625</c:v>
                </c:pt>
                <c:pt idx="66">
                  <c:v>630</c:v>
                </c:pt>
                <c:pt idx="67">
                  <c:v>635</c:v>
                </c:pt>
                <c:pt idx="68">
                  <c:v>640</c:v>
                </c:pt>
                <c:pt idx="69">
                  <c:v>645</c:v>
                </c:pt>
                <c:pt idx="70">
                  <c:v>650</c:v>
                </c:pt>
                <c:pt idx="71">
                  <c:v>655</c:v>
                </c:pt>
                <c:pt idx="72">
                  <c:v>660</c:v>
                </c:pt>
                <c:pt idx="73">
                  <c:v>665</c:v>
                </c:pt>
                <c:pt idx="74">
                  <c:v>670</c:v>
                </c:pt>
                <c:pt idx="75">
                  <c:v>675</c:v>
                </c:pt>
                <c:pt idx="76">
                  <c:v>680</c:v>
                </c:pt>
                <c:pt idx="77">
                  <c:v>685</c:v>
                </c:pt>
                <c:pt idx="78">
                  <c:v>690</c:v>
                </c:pt>
                <c:pt idx="79">
                  <c:v>695</c:v>
                </c:pt>
                <c:pt idx="80">
                  <c:v>700</c:v>
                </c:pt>
                <c:pt idx="81">
                  <c:v>705</c:v>
                </c:pt>
                <c:pt idx="82">
                  <c:v>710</c:v>
                </c:pt>
                <c:pt idx="83">
                  <c:v>715</c:v>
                </c:pt>
                <c:pt idx="84">
                  <c:v>720</c:v>
                </c:pt>
                <c:pt idx="85">
                  <c:v>725</c:v>
                </c:pt>
                <c:pt idx="86">
                  <c:v>730</c:v>
                </c:pt>
                <c:pt idx="87">
                  <c:v>735</c:v>
                </c:pt>
                <c:pt idx="88">
                  <c:v>740</c:v>
                </c:pt>
                <c:pt idx="89">
                  <c:v>745</c:v>
                </c:pt>
                <c:pt idx="90">
                  <c:v>750</c:v>
                </c:pt>
                <c:pt idx="91">
                  <c:v>755</c:v>
                </c:pt>
                <c:pt idx="92">
                  <c:v>760</c:v>
                </c:pt>
                <c:pt idx="93">
                  <c:v>765</c:v>
                </c:pt>
                <c:pt idx="94">
                  <c:v>770</c:v>
                </c:pt>
                <c:pt idx="95">
                  <c:v>775</c:v>
                </c:pt>
                <c:pt idx="96">
                  <c:v>780</c:v>
                </c:pt>
                <c:pt idx="97">
                  <c:v>785</c:v>
                </c:pt>
                <c:pt idx="98">
                  <c:v>790</c:v>
                </c:pt>
                <c:pt idx="99">
                  <c:v>795</c:v>
                </c:pt>
                <c:pt idx="100">
                  <c:v>800</c:v>
                </c:pt>
                <c:pt idx="101">
                  <c:v>805</c:v>
                </c:pt>
                <c:pt idx="102">
                  <c:v>810</c:v>
                </c:pt>
                <c:pt idx="103">
                  <c:v>815</c:v>
                </c:pt>
                <c:pt idx="104">
                  <c:v>820</c:v>
                </c:pt>
                <c:pt idx="105">
                  <c:v>825</c:v>
                </c:pt>
                <c:pt idx="106">
                  <c:v>830</c:v>
                </c:pt>
                <c:pt idx="107">
                  <c:v>835</c:v>
                </c:pt>
                <c:pt idx="108">
                  <c:v>840</c:v>
                </c:pt>
                <c:pt idx="109">
                  <c:v>845</c:v>
                </c:pt>
                <c:pt idx="110">
                  <c:v>850</c:v>
                </c:pt>
                <c:pt idx="111">
                  <c:v>855</c:v>
                </c:pt>
                <c:pt idx="112">
                  <c:v>860</c:v>
                </c:pt>
                <c:pt idx="113">
                  <c:v>865</c:v>
                </c:pt>
                <c:pt idx="114">
                  <c:v>870</c:v>
                </c:pt>
                <c:pt idx="115">
                  <c:v>875</c:v>
                </c:pt>
                <c:pt idx="116">
                  <c:v>880</c:v>
                </c:pt>
                <c:pt idx="117">
                  <c:v>885</c:v>
                </c:pt>
                <c:pt idx="118">
                  <c:v>890</c:v>
                </c:pt>
                <c:pt idx="119">
                  <c:v>895</c:v>
                </c:pt>
                <c:pt idx="120">
                  <c:v>900</c:v>
                </c:pt>
                <c:pt idx="121">
                  <c:v>905</c:v>
                </c:pt>
                <c:pt idx="122">
                  <c:v>910</c:v>
                </c:pt>
                <c:pt idx="123">
                  <c:v>915</c:v>
                </c:pt>
                <c:pt idx="124">
                  <c:v>920</c:v>
                </c:pt>
                <c:pt idx="125">
                  <c:v>925</c:v>
                </c:pt>
                <c:pt idx="126">
                  <c:v>930</c:v>
                </c:pt>
                <c:pt idx="127">
                  <c:v>935</c:v>
                </c:pt>
                <c:pt idx="128">
                  <c:v>940</c:v>
                </c:pt>
                <c:pt idx="129">
                  <c:v>945</c:v>
                </c:pt>
                <c:pt idx="130">
                  <c:v>950</c:v>
                </c:pt>
                <c:pt idx="131">
                  <c:v>955</c:v>
                </c:pt>
                <c:pt idx="132">
                  <c:v>960</c:v>
                </c:pt>
                <c:pt idx="133">
                  <c:v>965</c:v>
                </c:pt>
                <c:pt idx="134">
                  <c:v>970</c:v>
                </c:pt>
                <c:pt idx="135">
                  <c:v>975</c:v>
                </c:pt>
                <c:pt idx="136">
                  <c:v>980</c:v>
                </c:pt>
                <c:pt idx="137">
                  <c:v>985</c:v>
                </c:pt>
                <c:pt idx="138">
                  <c:v>990</c:v>
                </c:pt>
                <c:pt idx="139">
                  <c:v>995</c:v>
                </c:pt>
                <c:pt idx="140">
                  <c:v>1000</c:v>
                </c:pt>
              </c:numCache>
            </c:numRef>
          </c:xVal>
          <c:yVal>
            <c:numRef>
              <c:f>Data!$R$11:$R$151</c:f>
              <c:numCache>
                <c:formatCode>General</c:formatCode>
                <c:ptCount val="141"/>
                <c:pt idx="0">
                  <c:v>0.10800960061721698</c:v>
                </c:pt>
                <c:pt idx="1">
                  <c:v>0.11119297926016077</c:v>
                </c:pt>
                <c:pt idx="2">
                  <c:v>0.11435420609792964</c:v>
                </c:pt>
                <c:pt idx="3">
                  <c:v>0.11749124270884899</c:v>
                </c:pt>
                <c:pt idx="4">
                  <c:v>0.12060266367432737</c:v>
                </c:pt>
                <c:pt idx="5">
                  <c:v>0.12368767593556823</c:v>
                </c:pt>
                <c:pt idx="6">
                  <c:v>0.12674585719374051</c:v>
                </c:pt>
                <c:pt idx="7">
                  <c:v>0.12977713122503148</c:v>
                </c:pt>
                <c:pt idx="8">
                  <c:v>0.13278165190640218</c:v>
                </c:pt>
                <c:pt idx="9">
                  <c:v>0.13575978698171656</c:v>
                </c:pt>
                <c:pt idx="10">
                  <c:v>0.13871203403797672</c:v>
                </c:pt>
                <c:pt idx="11">
                  <c:v>0.14163897974016748</c:v>
                </c:pt>
                <c:pt idx="12">
                  <c:v>0.14454128557223245</c:v>
                </c:pt>
                <c:pt idx="13">
                  <c:v>0.14741965866884699</c:v>
                </c:pt>
                <c:pt idx="14">
                  <c:v>0.15027482230707151</c:v>
                </c:pt>
                <c:pt idx="15">
                  <c:v>0.15310752621709464</c:v>
                </c:pt>
                <c:pt idx="16">
                  <c:v>0.15591851604795431</c:v>
                </c:pt>
                <c:pt idx="17">
                  <c:v>0.15870853129205942</c:v>
                </c:pt>
                <c:pt idx="18">
                  <c:v>0.16147830196697968</c:v>
                </c:pt>
                <c:pt idx="19">
                  <c:v>0.16422853940337739</c:v>
                </c:pt>
                <c:pt idx="20">
                  <c:v>0.16695993796443312</c:v>
                </c:pt>
                <c:pt idx="21">
                  <c:v>0.1696731709138122</c:v>
                </c:pt>
                <c:pt idx="22">
                  <c:v>0.17236888938557646</c:v>
                </c:pt>
                <c:pt idx="23">
                  <c:v>0.17504771786253823</c:v>
                </c:pt>
                <c:pt idx="24">
                  <c:v>0.17771026456701358</c:v>
                </c:pt>
                <c:pt idx="25">
                  <c:v>0.18035710908502367</c:v>
                </c:pt>
                <c:pt idx="26">
                  <c:v>0.18298880933576367</c:v>
                </c:pt>
                <c:pt idx="27">
                  <c:v>0.18560590060005319</c:v>
                </c:pt>
                <c:pt idx="28">
                  <c:v>0.18820889609691832</c:v>
                </c:pt>
                <c:pt idx="29">
                  <c:v>0.19079828765410814</c:v>
                </c:pt>
                <c:pt idx="30">
                  <c:v>0.1933745464410962</c:v>
                </c:pt>
                <c:pt idx="31">
                  <c:v>0.19593812374030489</c:v>
                </c:pt>
                <c:pt idx="32">
                  <c:v>0.19848945173804092</c:v>
                </c:pt>
                <c:pt idx="33">
                  <c:v>0.20102894432095586</c:v>
                </c:pt>
                <c:pt idx="34">
                  <c:v>0.20355699786745288</c:v>
                </c:pt>
                <c:pt idx="35">
                  <c:v>0.20607399202613466</c:v>
                </c:pt>
                <c:pt idx="36">
                  <c:v>0.20858029047562404</c:v>
                </c:pt>
                <c:pt idx="37">
                  <c:v>0.21107624166165909</c:v>
                </c:pt>
                <c:pt idx="38">
                  <c:v>0.2135621795086754</c:v>
                </c:pt>
                <c:pt idx="39">
                  <c:v>0.21603842524992764</c:v>
                </c:pt>
                <c:pt idx="40">
                  <c:v>0.2185052858469963</c:v>
                </c:pt>
                <c:pt idx="41">
                  <c:v>0.22096305640964509</c:v>
                </c:pt>
                <c:pt idx="42">
                  <c:v>0.22341201790198917</c:v>
                </c:pt>
                <c:pt idx="43">
                  <c:v>0.22585244130700954</c:v>
                </c:pt>
                <c:pt idx="44">
                  <c:v>0.2282845867632956</c:v>
                </c:pt>
                <c:pt idx="45">
                  <c:v>0.23070870408255242</c:v>
                </c:pt>
                <c:pt idx="46">
                  <c:v>0.23312501974052585</c:v>
                </c:pt>
                <c:pt idx="47">
                  <c:v>0.23553378917866793</c:v>
                </c:pt>
                <c:pt idx="48">
                  <c:v>0.2379352227387419</c:v>
                </c:pt>
                <c:pt idx="49">
                  <c:v>0.24032953360623582</c:v>
                </c:pt>
                <c:pt idx="50">
                  <c:v>0.24271692685528706</c:v>
                </c:pt>
                <c:pt idx="51">
                  <c:v>0.24509759982562895</c:v>
                </c:pt>
                <c:pt idx="52">
                  <c:v>0.24747174247991655</c:v>
                </c:pt>
                <c:pt idx="53">
                  <c:v>0.24983953774237719</c:v>
                </c:pt>
                <c:pt idx="54">
                  <c:v>0.25220116181971325</c:v>
                </c:pt>
                <c:pt idx="55">
                  <c:v>0.25455678450534847</c:v>
                </c:pt>
                <c:pt idx="56">
                  <c:v>0.25690656946772483</c:v>
                </c:pt>
                <c:pt idx="57">
                  <c:v>0.25925067452376122</c:v>
                </c:pt>
                <c:pt idx="58">
                  <c:v>0.26158925189807775</c:v>
                </c:pt>
                <c:pt idx="59">
                  <c:v>0.26392244846885221</c:v>
                </c:pt>
                <c:pt idx="60">
                  <c:v>0.26625040600113947</c:v>
                </c:pt>
                <c:pt idx="61">
                  <c:v>0.26857326136818982</c:v>
                </c:pt>
                <c:pt idx="62">
                  <c:v>0.27089114676159975</c:v>
                </c:pt>
                <c:pt idx="63">
                  <c:v>0.27320418989080469</c:v>
                </c:pt>
                <c:pt idx="64">
                  <c:v>0.27551251417250522</c:v>
                </c:pt>
                <c:pt idx="65">
                  <c:v>0.27781623891079033</c:v>
                </c:pt>
                <c:pt idx="66">
                  <c:v>0.28011547946814175</c:v>
                </c:pt>
                <c:pt idx="67">
                  <c:v>0.28241034742807047</c:v>
                </c:pt>
                <c:pt idx="68">
                  <c:v>0.28470095074989199</c:v>
                </c:pt>
                <c:pt idx="69">
                  <c:v>0.28698739391576783</c:v>
                </c:pt>
                <c:pt idx="70">
                  <c:v>0.28926977807083126</c:v>
                </c:pt>
                <c:pt idx="71">
                  <c:v>0.29154820115644287</c:v>
                </c:pt>
                <c:pt idx="72">
                  <c:v>0.29382275803725427</c:v>
                </c:pt>
                <c:pt idx="73">
                  <c:v>0.29609354062200244</c:v>
                </c:pt>
                <c:pt idx="74">
                  <c:v>0.29836063797892387</c:v>
                </c:pt>
                <c:pt idx="75">
                  <c:v>0.3006241364456006</c:v>
                </c:pt>
                <c:pt idx="76">
                  <c:v>0.30288411973370755</c:v>
                </c:pt>
                <c:pt idx="77">
                  <c:v>0.30514066902908393</c:v>
                </c:pt>
                <c:pt idx="78">
                  <c:v>0.30739386308705402</c:v>
                </c:pt>
                <c:pt idx="79">
                  <c:v>0.30964377832356865</c:v>
                </c:pt>
                <c:pt idx="80">
                  <c:v>0.31189048890221016</c:v>
                </c:pt>
                <c:pt idx="81">
                  <c:v>0.31413406681723288</c:v>
                </c:pt>
                <c:pt idx="82">
                  <c:v>0.31637458197307144</c:v>
                </c:pt>
                <c:pt idx="83">
                  <c:v>0.31861210226015696</c:v>
                </c:pt>
                <c:pt idx="84">
                  <c:v>0.32084669362758989</c:v>
                </c:pt>
                <c:pt idx="85">
                  <c:v>0.3230784201526043</c:v>
                </c:pt>
                <c:pt idx="86">
                  <c:v>0.32530734410700085</c:v>
                </c:pt>
                <c:pt idx="87">
                  <c:v>0.32753352602077523</c:v>
                </c:pt>
                <c:pt idx="88">
                  <c:v>0.32975702474298613</c:v>
                </c:pt>
                <c:pt idx="89">
                  <c:v>0.33197789750023715</c:v>
                </c:pt>
                <c:pt idx="90">
                  <c:v>0.33419619995247452</c:v>
                </c:pt>
                <c:pt idx="91">
                  <c:v>0.33641198624662333</c:v>
                </c:pt>
                <c:pt idx="92">
                  <c:v>0.33862530906795274</c:v>
                </c:pt>
                <c:pt idx="93">
                  <c:v>0.34083621968939865</c:v>
                </c:pt>
                <c:pt idx="94">
                  <c:v>0.3430447680187596</c:v>
                </c:pt>
                <c:pt idx="95">
                  <c:v>0.34525100264412728</c:v>
                </c:pt>
                <c:pt idx="96">
                  <c:v>0.34745497087737592</c:v>
                </c:pt>
                <c:pt idx="97">
                  <c:v>0.34965671879606153</c:v>
                </c:pt>
                <c:pt idx="98">
                  <c:v>0.3518562912834835</c:v>
                </c:pt>
                <c:pt idx="99">
                  <c:v>0.35405373206733443</c:v>
                </c:pt>
                <c:pt idx="100">
                  <c:v>0.35624908375676256</c:v>
                </c:pt>
                <c:pt idx="101">
                  <c:v>0.35844238787804095</c:v>
                </c:pt>
                <c:pt idx="102">
                  <c:v>0.36063368490876291</c:v>
                </c:pt>
                <c:pt idx="103">
                  <c:v>0.36282301431093339</c:v>
                </c:pt>
                <c:pt idx="104">
                  <c:v>0.36501041456258454</c:v>
                </c:pt>
                <c:pt idx="105">
                  <c:v>0.36719592318830035</c:v>
                </c:pt>
                <c:pt idx="106">
                  <c:v>0.36937957678865768</c:v>
                </c:pt>
                <c:pt idx="107">
                  <c:v>0.37156141106851548</c:v>
                </c:pt>
                <c:pt idx="108">
                  <c:v>0.37374146086415838</c:v>
                </c:pt>
                <c:pt idx="109">
                  <c:v>0.37591976016964312</c:v>
                </c:pt>
                <c:pt idx="110">
                  <c:v>0.3780963421620262</c:v>
                </c:pt>
                <c:pt idx="111">
                  <c:v>0.38027123922579731</c:v>
                </c:pt>
                <c:pt idx="112">
                  <c:v>0.38244448297627731</c:v>
                </c:pt>
                <c:pt idx="113">
                  <c:v>0.38461609336169039</c:v>
                </c:pt>
                <c:pt idx="114">
                  <c:v>0.38678613328846584</c:v>
                </c:pt>
                <c:pt idx="115">
                  <c:v>0.3889545994352257</c:v>
                </c:pt>
                <c:pt idx="116">
                  <c:v>0.39112153148026013</c:v>
                </c:pt>
                <c:pt idx="117">
                  <c:v>0.39328695751764986</c:v>
                </c:pt>
                <c:pt idx="118">
                  <c:v>0.39545090499682761</c:v>
                </c:pt>
                <c:pt idx="119">
                  <c:v>0.39761340074093643</c:v>
                </c:pt>
                <c:pt idx="120">
                  <c:v>0.3997744709645043</c:v>
                </c:pt>
                <c:pt idx="121">
                  <c:v>0.4019341412905198</c:v>
                </c:pt>
                <c:pt idx="122">
                  <c:v>0.40409243676692819</c:v>
                </c:pt>
                <c:pt idx="123">
                  <c:v>0.40624938188252308</c:v>
                </c:pt>
                <c:pt idx="124">
                  <c:v>0.40840500058246515</c:v>
                </c:pt>
                <c:pt idx="125">
                  <c:v>0.41055931628307557</c:v>
                </c:pt>
                <c:pt idx="126">
                  <c:v>0.41271235188631589</c:v>
                </c:pt>
                <c:pt idx="127">
                  <c:v>0.41486412979367299</c:v>
                </c:pt>
                <c:pt idx="128">
                  <c:v>0.41701467191969294</c:v>
                </c:pt>
                <c:pt idx="129">
                  <c:v>0.41916399970499202</c:v>
                </c:pt>
                <c:pt idx="130">
                  <c:v>0.42131213412886687</c:v>
                </c:pt>
                <c:pt idx="131">
                  <c:v>0.42345909572156482</c:v>
                </c:pt>
                <c:pt idx="132">
                  <c:v>0.4256049045760823</c:v>
                </c:pt>
                <c:pt idx="133">
                  <c:v>0.42774958035965444</c:v>
                </c:pt>
                <c:pt idx="134">
                  <c:v>0.42989314232472597</c:v>
                </c:pt>
                <c:pt idx="135">
                  <c:v>0.432035609319951</c:v>
                </c:pt>
                <c:pt idx="136">
                  <c:v>0.43417699980029695</c:v>
                </c:pt>
                <c:pt idx="137">
                  <c:v>0.4363173318374432</c:v>
                </c:pt>
                <c:pt idx="138">
                  <c:v>0.43845662312931977</c:v>
                </c:pt>
                <c:pt idx="139">
                  <c:v>0.44059489100971017</c:v>
                </c:pt>
                <c:pt idx="140">
                  <c:v>0.44273215245741482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35-4B71-9EE3-A67263D21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476207"/>
        <c:axId val="189474767"/>
      </c:scatterChart>
      <c:valAx>
        <c:axId val="189476207"/>
        <c:scaling>
          <c:orientation val="minMax"/>
          <c:max val="10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74767"/>
        <c:crosses val="autoZero"/>
        <c:crossBetween val="midCat"/>
        <c:majorUnit val="50"/>
      </c:valAx>
      <c:valAx>
        <c:axId val="18947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Molar Volume (L/mol)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76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Methan</a:t>
            </a:r>
            <a:r>
              <a:rPr lang="en-US" baseline="0"/>
              <a:t>e: Peng Robinson V vs T at 200bar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880149812734081E-2"/>
                  <c:y val="-2.39156502496011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Data!$F$11:$F$151</c:f>
              <c:numCache>
                <c:formatCode>General</c:formatCode>
                <c:ptCount val="1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  <c:pt idx="41">
                  <c:v>505</c:v>
                </c:pt>
                <c:pt idx="42">
                  <c:v>510</c:v>
                </c:pt>
                <c:pt idx="43">
                  <c:v>515</c:v>
                </c:pt>
                <c:pt idx="44">
                  <c:v>520</c:v>
                </c:pt>
                <c:pt idx="45">
                  <c:v>525</c:v>
                </c:pt>
                <c:pt idx="46">
                  <c:v>530</c:v>
                </c:pt>
                <c:pt idx="47">
                  <c:v>535</c:v>
                </c:pt>
                <c:pt idx="48">
                  <c:v>540</c:v>
                </c:pt>
                <c:pt idx="49">
                  <c:v>545</c:v>
                </c:pt>
                <c:pt idx="50">
                  <c:v>550</c:v>
                </c:pt>
                <c:pt idx="51">
                  <c:v>555</c:v>
                </c:pt>
                <c:pt idx="52">
                  <c:v>560</c:v>
                </c:pt>
                <c:pt idx="53">
                  <c:v>565</c:v>
                </c:pt>
                <c:pt idx="54">
                  <c:v>570</c:v>
                </c:pt>
                <c:pt idx="55">
                  <c:v>575</c:v>
                </c:pt>
                <c:pt idx="56">
                  <c:v>580</c:v>
                </c:pt>
                <c:pt idx="57">
                  <c:v>585</c:v>
                </c:pt>
                <c:pt idx="58">
                  <c:v>590</c:v>
                </c:pt>
                <c:pt idx="59">
                  <c:v>595</c:v>
                </c:pt>
                <c:pt idx="60">
                  <c:v>600</c:v>
                </c:pt>
                <c:pt idx="61">
                  <c:v>605</c:v>
                </c:pt>
                <c:pt idx="62">
                  <c:v>610</c:v>
                </c:pt>
                <c:pt idx="63">
                  <c:v>615</c:v>
                </c:pt>
                <c:pt idx="64">
                  <c:v>620</c:v>
                </c:pt>
                <c:pt idx="65">
                  <c:v>625</c:v>
                </c:pt>
                <c:pt idx="66">
                  <c:v>630</c:v>
                </c:pt>
                <c:pt idx="67">
                  <c:v>635</c:v>
                </c:pt>
                <c:pt idx="68">
                  <c:v>640</c:v>
                </c:pt>
                <c:pt idx="69">
                  <c:v>645</c:v>
                </c:pt>
                <c:pt idx="70">
                  <c:v>650</c:v>
                </c:pt>
                <c:pt idx="71">
                  <c:v>655</c:v>
                </c:pt>
                <c:pt idx="72">
                  <c:v>660</c:v>
                </c:pt>
                <c:pt idx="73">
                  <c:v>665</c:v>
                </c:pt>
                <c:pt idx="74">
                  <c:v>670</c:v>
                </c:pt>
                <c:pt idx="75">
                  <c:v>675</c:v>
                </c:pt>
                <c:pt idx="76">
                  <c:v>680</c:v>
                </c:pt>
                <c:pt idx="77">
                  <c:v>685</c:v>
                </c:pt>
                <c:pt idx="78">
                  <c:v>690</c:v>
                </c:pt>
                <c:pt idx="79">
                  <c:v>695</c:v>
                </c:pt>
                <c:pt idx="80">
                  <c:v>700</c:v>
                </c:pt>
                <c:pt idx="81">
                  <c:v>705</c:v>
                </c:pt>
                <c:pt idx="82">
                  <c:v>710</c:v>
                </c:pt>
                <c:pt idx="83">
                  <c:v>715</c:v>
                </c:pt>
                <c:pt idx="84">
                  <c:v>720</c:v>
                </c:pt>
                <c:pt idx="85">
                  <c:v>725</c:v>
                </c:pt>
                <c:pt idx="86">
                  <c:v>730</c:v>
                </c:pt>
                <c:pt idx="87">
                  <c:v>735</c:v>
                </c:pt>
                <c:pt idx="88">
                  <c:v>740</c:v>
                </c:pt>
                <c:pt idx="89">
                  <c:v>745</c:v>
                </c:pt>
                <c:pt idx="90">
                  <c:v>750</c:v>
                </c:pt>
                <c:pt idx="91">
                  <c:v>755</c:v>
                </c:pt>
                <c:pt idx="92">
                  <c:v>760</c:v>
                </c:pt>
                <c:pt idx="93">
                  <c:v>765</c:v>
                </c:pt>
                <c:pt idx="94">
                  <c:v>770</c:v>
                </c:pt>
                <c:pt idx="95">
                  <c:v>775</c:v>
                </c:pt>
                <c:pt idx="96">
                  <c:v>780</c:v>
                </c:pt>
                <c:pt idx="97">
                  <c:v>785</c:v>
                </c:pt>
                <c:pt idx="98">
                  <c:v>790</c:v>
                </c:pt>
                <c:pt idx="99">
                  <c:v>795</c:v>
                </c:pt>
                <c:pt idx="100">
                  <c:v>800</c:v>
                </c:pt>
                <c:pt idx="101">
                  <c:v>805</c:v>
                </c:pt>
                <c:pt idx="102">
                  <c:v>810</c:v>
                </c:pt>
                <c:pt idx="103">
                  <c:v>815</c:v>
                </c:pt>
                <c:pt idx="104">
                  <c:v>820</c:v>
                </c:pt>
                <c:pt idx="105">
                  <c:v>825</c:v>
                </c:pt>
                <c:pt idx="106">
                  <c:v>830</c:v>
                </c:pt>
                <c:pt idx="107">
                  <c:v>835</c:v>
                </c:pt>
                <c:pt idx="108">
                  <c:v>840</c:v>
                </c:pt>
                <c:pt idx="109">
                  <c:v>845</c:v>
                </c:pt>
                <c:pt idx="110">
                  <c:v>850</c:v>
                </c:pt>
                <c:pt idx="111">
                  <c:v>855</c:v>
                </c:pt>
                <c:pt idx="112">
                  <c:v>860</c:v>
                </c:pt>
                <c:pt idx="113">
                  <c:v>865</c:v>
                </c:pt>
                <c:pt idx="114">
                  <c:v>870</c:v>
                </c:pt>
                <c:pt idx="115">
                  <c:v>875</c:v>
                </c:pt>
                <c:pt idx="116">
                  <c:v>880</c:v>
                </c:pt>
                <c:pt idx="117">
                  <c:v>885</c:v>
                </c:pt>
                <c:pt idx="118">
                  <c:v>890</c:v>
                </c:pt>
                <c:pt idx="119">
                  <c:v>895</c:v>
                </c:pt>
                <c:pt idx="120">
                  <c:v>900</c:v>
                </c:pt>
                <c:pt idx="121">
                  <c:v>905</c:v>
                </c:pt>
                <c:pt idx="122">
                  <c:v>910</c:v>
                </c:pt>
                <c:pt idx="123">
                  <c:v>915</c:v>
                </c:pt>
                <c:pt idx="124">
                  <c:v>920</c:v>
                </c:pt>
                <c:pt idx="125">
                  <c:v>925</c:v>
                </c:pt>
                <c:pt idx="126">
                  <c:v>930</c:v>
                </c:pt>
                <c:pt idx="127">
                  <c:v>935</c:v>
                </c:pt>
                <c:pt idx="128">
                  <c:v>940</c:v>
                </c:pt>
                <c:pt idx="129">
                  <c:v>945</c:v>
                </c:pt>
                <c:pt idx="130">
                  <c:v>950</c:v>
                </c:pt>
                <c:pt idx="131">
                  <c:v>955</c:v>
                </c:pt>
                <c:pt idx="132">
                  <c:v>960</c:v>
                </c:pt>
                <c:pt idx="133">
                  <c:v>965</c:v>
                </c:pt>
                <c:pt idx="134">
                  <c:v>970</c:v>
                </c:pt>
                <c:pt idx="135">
                  <c:v>975</c:v>
                </c:pt>
                <c:pt idx="136">
                  <c:v>980</c:v>
                </c:pt>
                <c:pt idx="137">
                  <c:v>985</c:v>
                </c:pt>
                <c:pt idx="138">
                  <c:v>990</c:v>
                </c:pt>
                <c:pt idx="139">
                  <c:v>995</c:v>
                </c:pt>
                <c:pt idx="140">
                  <c:v>1000</c:v>
                </c:pt>
              </c:numCache>
            </c:numRef>
          </c:xVal>
          <c:yVal>
            <c:numRef>
              <c:f>Data!$U$11:$U$151</c:f>
              <c:numCache>
                <c:formatCode>General</c:formatCode>
                <c:ptCount val="141"/>
                <c:pt idx="0">
                  <c:v>0.10120812914997228</c:v>
                </c:pt>
                <c:pt idx="1">
                  <c:v>0.10431529273601113</c:v>
                </c:pt>
                <c:pt idx="2">
                  <c:v>0.10740412615704448</c:v>
                </c:pt>
                <c:pt idx="3">
                  <c:v>0.11047266583516135</c:v>
                </c:pt>
                <c:pt idx="4">
                  <c:v>0.11351956147454491</c:v>
                </c:pt>
                <c:pt idx="5">
                  <c:v>0.1165439424125405</c:v>
                </c:pt>
                <c:pt idx="6">
                  <c:v>0.11954534012578888</c:v>
                </c:pt>
                <c:pt idx="7">
                  <c:v>0.12252355961406924</c:v>
                </c:pt>
                <c:pt idx="8">
                  <c:v>0.12547864174479742</c:v>
                </c:pt>
                <c:pt idx="9">
                  <c:v>0.12841080019036286</c:v>
                </c:pt>
                <c:pt idx="10">
                  <c:v>0.13132037798602528</c:v>
                </c:pt>
                <c:pt idx="11">
                  <c:v>0.13420782108429058</c:v>
                </c:pt>
                <c:pt idx="12">
                  <c:v>0.13707361707350446</c:v>
                </c:pt>
                <c:pt idx="13">
                  <c:v>0.13991833032915652</c:v>
                </c:pt>
                <c:pt idx="14">
                  <c:v>0.14274254201929712</c:v>
                </c:pt>
                <c:pt idx="15">
                  <c:v>0.1455468640463862</c:v>
                </c:pt>
                <c:pt idx="16">
                  <c:v>0.14833189576352038</c:v>
                </c:pt>
                <c:pt idx="17">
                  <c:v>0.15109824939069619</c:v>
                </c:pt>
                <c:pt idx="18">
                  <c:v>0.15384653001818763</c:v>
                </c:pt>
                <c:pt idx="19">
                  <c:v>0.15657733333876978</c:v>
                </c:pt>
                <c:pt idx="20">
                  <c:v>0.1592912425272805</c:v>
                </c:pt>
                <c:pt idx="21">
                  <c:v>0.1619888260016196</c:v>
                </c:pt>
                <c:pt idx="22">
                  <c:v>0.16467063587275763</c:v>
                </c:pt>
                <c:pt idx="23">
                  <c:v>0.16733720693188178</c:v>
                </c:pt>
                <c:pt idx="24">
                  <c:v>0.16998905605407513</c:v>
                </c:pt>
                <c:pt idx="25">
                  <c:v>0.17262668192357977</c:v>
                </c:pt>
                <c:pt idx="26">
                  <c:v>0.17525056500549413</c:v>
                </c:pt>
                <c:pt idx="27">
                  <c:v>0.17786116770439708</c:v>
                </c:pt>
                <c:pt idx="28">
                  <c:v>0.18045893466311019</c:v>
                </c:pt>
                <c:pt idx="29">
                  <c:v>0.18304429316458645</c:v>
                </c:pt>
                <c:pt idx="30">
                  <c:v>0.18561765360804944</c:v>
                </c:pt>
                <c:pt idx="31">
                  <c:v>0.18817941003630925</c:v>
                </c:pt>
                <c:pt idx="32">
                  <c:v>0.19072994069660276</c:v>
                </c:pt>
                <c:pt idx="33">
                  <c:v>0.19326960862103673</c:v>
                </c:pt>
                <c:pt idx="34">
                  <c:v>0.19579876221577663</c:v>
                </c:pt>
                <c:pt idx="35">
                  <c:v>0.19831773585093976</c:v>
                </c:pt>
                <c:pt idx="36">
                  <c:v>0.20082685044453275</c:v>
                </c:pt>
                <c:pt idx="37">
                  <c:v>0.20332641403611232</c:v>
                </c:pt>
                <c:pt idx="38">
                  <c:v>0.20581672234648557</c:v>
                </c:pt>
                <c:pt idx="39">
                  <c:v>0.2082980593209581</c:v>
                </c:pt>
                <c:pt idx="40">
                  <c:v>0.21077069765438178</c:v>
                </c:pt>
                <c:pt idx="41">
                  <c:v>0.21323489929704906</c:v>
                </c:pt>
                <c:pt idx="42">
                  <c:v>0.21569091594050885</c:v>
                </c:pt>
                <c:pt idx="43">
                  <c:v>0.21813898948346069</c:v>
                </c:pt>
                <c:pt idx="44">
                  <c:v>0.22057935247714097</c:v>
                </c:pt>
                <c:pt idx="45">
                  <c:v>0.22301222855107503</c:v>
                </c:pt>
                <c:pt idx="46">
                  <c:v>0.22543783281902402</c:v>
                </c:pt>
                <c:pt idx="47">
                  <c:v>0.2278563722661244</c:v>
                </c:pt>
                <c:pt idx="48">
                  <c:v>0.23026804611722759</c:v>
                </c:pt>
                <c:pt idx="49">
                  <c:v>0.23267304618785412</c:v>
                </c:pt>
                <c:pt idx="50">
                  <c:v>0.23507155721763368</c:v>
                </c:pt>
                <c:pt idx="51">
                  <c:v>0.23746375718765902</c:v>
                </c:pt>
                <c:pt idx="52">
                  <c:v>0.23984981762198559</c:v>
                </c:pt>
                <c:pt idx="53">
                  <c:v>0.24222990387414339</c:v>
                </c:pt>
                <c:pt idx="54">
                  <c:v>0.24460417539952314</c:v>
                </c:pt>
                <c:pt idx="55">
                  <c:v>0.24697278601410572</c:v>
                </c:pt>
                <c:pt idx="56">
                  <c:v>0.24933588414026536</c:v>
                </c:pt>
                <c:pt idx="57">
                  <c:v>0.25169361304046717</c:v>
                </c:pt>
                <c:pt idx="58">
                  <c:v>0.25404611103920782</c:v>
                </c:pt>
                <c:pt idx="59">
                  <c:v>0.2563935117340635</c:v>
                </c:pt>
                <c:pt idx="60">
                  <c:v>0.25873594419622875</c:v>
                </c:pt>
                <c:pt idx="61">
                  <c:v>0.26107353316115695</c:v>
                </c:pt>
                <c:pt idx="62">
                  <c:v>0.26340639920997233</c:v>
                </c:pt>
                <c:pt idx="63">
                  <c:v>0.2657346589418641</c:v>
                </c:pt>
                <c:pt idx="64">
                  <c:v>0.2680584251382187</c:v>
                </c:pt>
                <c:pt idx="65">
                  <c:v>0.27037780691866892</c:v>
                </c:pt>
                <c:pt idx="66">
                  <c:v>0.27269290988974698</c:v>
                </c:pt>
                <c:pt idx="67">
                  <c:v>0.27500383628639596</c:v>
                </c:pt>
                <c:pt idx="68">
                  <c:v>0.27731068510670742</c:v>
                </c:pt>
                <c:pt idx="69">
                  <c:v>0.27961355224026696</c:v>
                </c:pt>
                <c:pt idx="70">
                  <c:v>0.28191253059057447</c:v>
                </c:pt>
                <c:pt idx="71">
                  <c:v>0.28420771019159369</c:v>
                </c:pt>
                <c:pt idx="72">
                  <c:v>0.28649917831893923</c:v>
                </c:pt>
                <c:pt idx="73">
                  <c:v>0.28878701959601494</c:v>
                </c:pt>
                <c:pt idx="74">
                  <c:v>0.29107131609512776</c:v>
                </c:pt>
                <c:pt idx="75">
                  <c:v>0.29335214743417332</c:v>
                </c:pt>
                <c:pt idx="76">
                  <c:v>0.29562959086873364</c:v>
                </c:pt>
                <c:pt idx="77">
                  <c:v>0.29790372138027982</c:v>
                </c:pt>
                <c:pt idx="78">
                  <c:v>0.30017461176019833</c:v>
                </c:pt>
                <c:pt idx="79">
                  <c:v>0.30244233269027487</c:v>
                </c:pt>
                <c:pt idx="80">
                  <c:v>0.30470695281953747</c:v>
                </c:pt>
                <c:pt idx="81">
                  <c:v>0.30696853883775266</c:v>
                </c:pt>
                <c:pt idx="82">
                  <c:v>0.30922715554576125</c:v>
                </c:pt>
                <c:pt idx="83">
                  <c:v>0.31148286592274865</c:v>
                </c:pt>
                <c:pt idx="84">
                  <c:v>0.31373573119063547</c:v>
                </c:pt>
                <c:pt idx="85">
                  <c:v>0.31598581087574901</c:v>
                </c:pt>
                <c:pt idx="86">
                  <c:v>0.31823316286789721</c:v>
                </c:pt>
                <c:pt idx="87">
                  <c:v>0.32047784347691211</c:v>
                </c:pt>
                <c:pt idx="88">
                  <c:v>0.32271990748690044</c:v>
                </c:pt>
                <c:pt idx="89">
                  <c:v>0.32495940820820712</c:v>
                </c:pt>
                <c:pt idx="90">
                  <c:v>0.32719639752727026</c:v>
                </c:pt>
                <c:pt idx="91">
                  <c:v>0.32943092595444801</c:v>
                </c:pt>
                <c:pt idx="92">
                  <c:v>0.33166304266985752</c:v>
                </c:pt>
                <c:pt idx="93">
                  <c:v>0.33389279556744933</c:v>
                </c:pt>
                <c:pt idx="94">
                  <c:v>0.33612023129724383</c:v>
                </c:pt>
                <c:pt idx="95">
                  <c:v>0.33834539530593999</c:v>
                </c:pt>
                <c:pt idx="96">
                  <c:v>0.34056833187591695</c:v>
                </c:pt>
                <c:pt idx="97">
                  <c:v>0.34278908416269588</c:v>
                </c:pt>
                <c:pt idx="98">
                  <c:v>0.34500769423094724</c:v>
                </c:pt>
                <c:pt idx="99">
                  <c:v>0.34722420308911989</c:v>
                </c:pt>
                <c:pt idx="100">
                  <c:v>0.34943865072274566</c:v>
                </c:pt>
                <c:pt idx="101">
                  <c:v>0.35165107612643937</c:v>
                </c:pt>
                <c:pt idx="102">
                  <c:v>0.35386151733473586</c:v>
                </c:pt>
                <c:pt idx="103">
                  <c:v>0.35607001145175499</c:v>
                </c:pt>
                <c:pt idx="104">
                  <c:v>0.35827659467971329</c:v>
                </c:pt>
                <c:pt idx="105">
                  <c:v>0.3604813023464532</c:v>
                </c:pt>
                <c:pt idx="106">
                  <c:v>0.36268416893190603</c:v>
                </c:pt>
                <c:pt idx="107">
                  <c:v>0.36488522809359686</c:v>
                </c:pt>
                <c:pt idx="108">
                  <c:v>0.36708451269123044</c:v>
                </c:pt>
                <c:pt idx="109">
                  <c:v>0.36928205481038745</c:v>
                </c:pt>
                <c:pt idx="110">
                  <c:v>0.37147788578536289</c:v>
                </c:pt>
                <c:pt idx="111">
                  <c:v>0.37367203622118678</c:v>
                </c:pt>
                <c:pt idx="112">
                  <c:v>0.37586453601488595</c:v>
                </c:pt>
                <c:pt idx="113">
                  <c:v>0.37805541437596507</c:v>
                </c:pt>
                <c:pt idx="114">
                  <c:v>0.38024469984622272</c:v>
                </c:pt>
                <c:pt idx="115">
                  <c:v>0.38243242031878633</c:v>
                </c:pt>
                <c:pt idx="116">
                  <c:v>0.38461860305660067</c:v>
                </c:pt>
                <c:pt idx="117">
                  <c:v>0.38680327471020048</c:v>
                </c:pt>
                <c:pt idx="118">
                  <c:v>0.38898646133491244</c:v>
                </c:pt>
                <c:pt idx="119">
                  <c:v>0.39116818840745593</c:v>
                </c:pt>
                <c:pt idx="120">
                  <c:v>0.39334848084200347</c:v>
                </c:pt>
                <c:pt idx="121">
                  <c:v>0.39552736300568425</c:v>
                </c:pt>
                <c:pt idx="122">
                  <c:v>0.39770485873358097</c:v>
                </c:pt>
                <c:pt idx="123">
                  <c:v>0.39988099134323057</c:v>
                </c:pt>
                <c:pt idx="124">
                  <c:v>0.40205578364863848</c:v>
                </c:pt>
                <c:pt idx="125">
                  <c:v>0.40422925797384707</c:v>
                </c:pt>
                <c:pt idx="126">
                  <c:v>0.40640143616605506</c:v>
                </c:pt>
                <c:pt idx="127">
                  <c:v>0.40857233960831929</c:v>
                </c:pt>
                <c:pt idx="128">
                  <c:v>0.4107419892318232</c:v>
                </c:pt>
                <c:pt idx="129">
                  <c:v>0.41291040552779512</c:v>
                </c:pt>
                <c:pt idx="130">
                  <c:v>0.41507760855902426</c:v>
                </c:pt>
                <c:pt idx="131">
                  <c:v>0.41724361797099302</c:v>
                </c:pt>
                <c:pt idx="132">
                  <c:v>0.41940845300270463</c:v>
                </c:pt>
                <c:pt idx="133">
                  <c:v>0.4215721324971351</c:v>
                </c:pt>
                <c:pt idx="134">
                  <c:v>0.42373467491137723</c:v>
                </c:pt>
                <c:pt idx="135">
                  <c:v>0.42589609832646408</c:v>
                </c:pt>
                <c:pt idx="136">
                  <c:v>0.42805642045690151</c:v>
                </c:pt>
                <c:pt idx="137">
                  <c:v>0.43021565865990108</c:v>
                </c:pt>
                <c:pt idx="138">
                  <c:v>0.43237382994432844</c:v>
                </c:pt>
                <c:pt idx="139">
                  <c:v>0.43453095097938416</c:v>
                </c:pt>
                <c:pt idx="140">
                  <c:v>0.43668703203211101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3E-4FCC-8B61-7FA0F00AB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751599"/>
        <c:axId val="182752559"/>
      </c:scatterChart>
      <c:valAx>
        <c:axId val="182751599"/>
        <c:scaling>
          <c:orientation val="minMax"/>
          <c:max val="10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(T)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52559"/>
        <c:crosses val="autoZero"/>
        <c:crossBetween val="midCat"/>
        <c:majorUnit val="50"/>
      </c:valAx>
      <c:valAx>
        <c:axId val="18275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Molar Volume (L/mol)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51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257173</xdr:colOff>
      <xdr:row>2</xdr:row>
      <xdr:rowOff>28573</xdr:rowOff>
    </xdr:from>
    <xdr:to>
      <xdr:col>10</xdr:col>
      <xdr:colOff>85724</xdr:colOff>
      <xdr:row>23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448D40-52BD-485F-98C2-2456ED89FC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247649</xdr:colOff>
      <xdr:row>25</xdr:row>
      <xdr:rowOff>76199</xdr:rowOff>
    </xdr:from>
    <xdr:to>
      <xdr:col>10</xdr:col>
      <xdr:colOff>180974</xdr:colOff>
      <xdr:row>47</xdr:row>
      <xdr:rowOff>47624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E8E42B-22FE-41BE-81F8-958B61091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266699</xdr:colOff>
      <xdr:row>48</xdr:row>
      <xdr:rowOff>161924</xdr:rowOff>
    </xdr:from>
    <xdr:to>
      <xdr:col>10</xdr:col>
      <xdr:colOff>219075</xdr:colOff>
      <xdr:row>70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628562-B64A-4807-AF38-802C70E06A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295275</xdr:colOff>
      <xdr:row>72</xdr:row>
      <xdr:rowOff>9524</xdr:rowOff>
    </xdr:from>
    <xdr:to>
      <xdr:col>10</xdr:col>
      <xdr:colOff>200025</xdr:colOff>
      <xdr:row>93</xdr:row>
      <xdr:rowOff>142874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C9A6AD-B728-4239-8C58-0CD0CE3D4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314325</xdr:colOff>
      <xdr:row>95</xdr:row>
      <xdr:rowOff>28575</xdr:rowOff>
    </xdr:from>
    <xdr:to>
      <xdr:col>10</xdr:col>
      <xdr:colOff>238125</xdr:colOff>
      <xdr:row>116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D4DD9D-D8E8-4E14-B341-51D9708C1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9ECA95-DDA5-4D9E-8A35-FAC119927CA0}">
  <we:reference id="WA104100404" version="3.0.0.1" store="en-us" storeType="omex"/>
  <we:alternateReferences>
    <we:reference id="WA104100404" version="3.0.0.1" store="en-us" storeType="omex"/>
  </we:alternateReferences>
  <we:properties>
    <we:property name="UniqueID" value="&quot;2025106176245166852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C6AE-FA0D-4E03-80EB-CE5F6973F82B}">
  <dimension ref="A1:U151"/>
  <sheetViews>
    <sheetView topLeftCell="H1" zoomScale="90" zoomScaleNormal="90" workbookViewId="0">
      <selection activeCell="K11" sqref="K11"/>
    </sheetView>
  </sheetViews>
  <sheetFormatPr defaultRowHeight="14.5" x14ac:dyDescent="0.35"/>
  <cols>
    <col min="1" max="1" width="18.26953125" customWidth="1"/>
    <col min="3" max="3" width="8.7265625" bestFit="1" customWidth="1"/>
    <col min="6" max="6" width="14.26953125" customWidth="1"/>
    <col min="7" max="7" width="13.08984375" customWidth="1"/>
    <col min="9" max="9" width="12.453125" customWidth="1"/>
    <col min="11" max="11" width="12" bestFit="1" customWidth="1"/>
    <col min="12" max="12" width="9.26953125" bestFit="1" customWidth="1"/>
    <col min="13" max="13" width="8.7265625" bestFit="1" customWidth="1"/>
    <col min="14" max="14" width="12.453125" bestFit="1" customWidth="1"/>
    <col min="15" max="15" width="8.7265625" bestFit="1" customWidth="1"/>
    <col min="17" max="17" width="12.7265625" bestFit="1" customWidth="1"/>
    <col min="20" max="20" width="12.7265625" bestFit="1" customWidth="1"/>
  </cols>
  <sheetData>
    <row r="1" spans="1:21" x14ac:dyDescent="0.35">
      <c r="B1" t="s">
        <v>0</v>
      </c>
      <c r="C1" t="s">
        <v>1</v>
      </c>
      <c r="D1" t="s">
        <v>2</v>
      </c>
    </row>
    <row r="2" spans="1:21" x14ac:dyDescent="0.35">
      <c r="A2" t="s">
        <v>3</v>
      </c>
      <c r="B2" t="s">
        <v>4</v>
      </c>
      <c r="C2">
        <v>200</v>
      </c>
      <c r="D2" t="s">
        <v>5</v>
      </c>
    </row>
    <row r="3" spans="1:21" x14ac:dyDescent="0.35">
      <c r="A3" t="s">
        <v>6</v>
      </c>
      <c r="B3" t="s">
        <v>7</v>
      </c>
      <c r="C3">
        <v>45.99</v>
      </c>
      <c r="D3" t="s">
        <v>5</v>
      </c>
      <c r="K3" t="s">
        <v>8</v>
      </c>
    </row>
    <row r="4" spans="1:21" x14ac:dyDescent="0.35">
      <c r="A4" t="s">
        <v>9</v>
      </c>
      <c r="B4" t="s">
        <v>10</v>
      </c>
      <c r="C4">
        <f>C2/C3</f>
        <v>4.3487714720591431</v>
      </c>
    </row>
    <row r="5" spans="1:21" x14ac:dyDescent="0.35">
      <c r="A5" t="s">
        <v>11</v>
      </c>
      <c r="B5" t="s">
        <v>12</v>
      </c>
      <c r="C5">
        <v>8.3140000000000006E-2</v>
      </c>
      <c r="D5" t="s">
        <v>13</v>
      </c>
    </row>
    <row r="6" spans="1:21" x14ac:dyDescent="0.35">
      <c r="A6" t="s">
        <v>14</v>
      </c>
      <c r="B6" t="s">
        <v>15</v>
      </c>
      <c r="C6">
        <v>190.6</v>
      </c>
      <c r="D6" t="s">
        <v>16</v>
      </c>
    </row>
    <row r="8" spans="1:21" ht="19.5" x14ac:dyDescent="0.45">
      <c r="I8" s="14" t="s">
        <v>17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6"/>
    </row>
    <row r="9" spans="1:21" x14ac:dyDescent="0.35">
      <c r="I9" s="6" t="s">
        <v>18</v>
      </c>
      <c r="J9" s="17" t="s">
        <v>19</v>
      </c>
      <c r="K9" s="18"/>
      <c r="L9" s="19"/>
      <c r="M9" s="17" t="s">
        <v>20</v>
      </c>
      <c r="N9" s="18"/>
      <c r="O9" s="19"/>
      <c r="P9" s="17" t="s">
        <v>21</v>
      </c>
      <c r="Q9" s="18"/>
      <c r="R9" s="19"/>
      <c r="S9" s="17" t="s">
        <v>22</v>
      </c>
      <c r="T9" s="18"/>
      <c r="U9" s="19"/>
    </row>
    <row r="10" spans="1:21" x14ac:dyDescent="0.35">
      <c r="A10" s="13" t="s">
        <v>23</v>
      </c>
      <c r="B10" s="13"/>
      <c r="C10" s="13"/>
      <c r="F10" s="10" t="s">
        <v>24</v>
      </c>
      <c r="G10" s="10" t="s">
        <v>25</v>
      </c>
      <c r="I10" s="7" t="s">
        <v>1</v>
      </c>
      <c r="J10" s="8"/>
      <c r="K10" s="2" t="s">
        <v>26</v>
      </c>
      <c r="L10" s="9" t="s">
        <v>1</v>
      </c>
      <c r="M10" s="8" t="s">
        <v>27</v>
      </c>
      <c r="N10" s="2" t="s">
        <v>26</v>
      </c>
      <c r="O10" s="9" t="s">
        <v>1</v>
      </c>
      <c r="P10" s="8" t="s">
        <v>28</v>
      </c>
      <c r="Q10" s="2" t="s">
        <v>26</v>
      </c>
      <c r="R10" s="9" t="s">
        <v>1</v>
      </c>
      <c r="S10" s="8" t="s">
        <v>28</v>
      </c>
      <c r="T10" s="2" t="s">
        <v>26</v>
      </c>
      <c r="U10" s="9" t="s">
        <v>1</v>
      </c>
    </row>
    <row r="11" spans="1:21" x14ac:dyDescent="0.35">
      <c r="A11" t="s">
        <v>29</v>
      </c>
      <c r="B11" s="1" t="s">
        <v>30</v>
      </c>
      <c r="C11">
        <v>0.125</v>
      </c>
      <c r="F11" s="2">
        <v>300</v>
      </c>
      <c r="G11">
        <f>$F11/$C$6</f>
        <v>1.5739769150052467</v>
      </c>
      <c r="I11" s="5">
        <f>$C$5*$F11/$C$2</f>
        <v>0.12471</v>
      </c>
      <c r="J11" s="3"/>
      <c r="K11">
        <f>($C$5*$F11/($L11-$C$13))-($C$14/($L11^2))-$C$2</f>
        <v>-1.0516032489249483E-12</v>
      </c>
      <c r="L11" s="11">
        <v>0.10265886146971649</v>
      </c>
      <c r="M11" s="3">
        <f>$C$21*($G11^(-1/2))*($C$5^2)*($C$6^2)/$C$3</f>
        <v>1.860454464308205</v>
      </c>
      <c r="N11">
        <f>($C$5*$F11/($O11-$C$22))-($M11/$O11/($O11+$C$22))-$C$2</f>
        <v>3.4234420809298172E-6</v>
      </c>
      <c r="O11" s="11">
        <v>0.10523690081603879</v>
      </c>
      <c r="P11" s="3">
        <f>(1+$C$34*(1-($G11^(1/2))))^2</f>
        <v>0.7599872082062572</v>
      </c>
      <c r="Q11">
        <f>($C$5*$F11/($R11-$C$31))-($P11*$C$32/$R11/($R11+$C$31))-$C$2</f>
        <v>4.3118172357026197E-6</v>
      </c>
      <c r="R11" s="11">
        <v>0.10800960061721698</v>
      </c>
      <c r="S11" s="3">
        <f>(1+($C$42*(1-($G11^(1/2)))))^2</f>
        <v>0.80985883382871926</v>
      </c>
      <c r="T11">
        <f>($C$5*$F11/($U11-$C$40))-($S11*$C$41/($U11*($U11+$C$40)+$C$40*($U11-$C$40)))-$C$2</f>
        <v>-8.4537198290490778E-6</v>
      </c>
      <c r="U11" s="11">
        <v>0.10120812914997228</v>
      </c>
    </row>
    <row r="12" spans="1:21" x14ac:dyDescent="0.35">
      <c r="A12" t="s">
        <v>31</v>
      </c>
      <c r="B12" s="1" t="s">
        <v>32</v>
      </c>
      <c r="C12">
        <v>0.421875</v>
      </c>
      <c r="F12" s="2">
        <v>305</v>
      </c>
      <c r="G12">
        <f t="shared" ref="G12:G75" si="0">$F12/$C$6</f>
        <v>1.6002098635886675</v>
      </c>
      <c r="I12" s="5">
        <f t="shared" ref="I12:I75" si="1">$C$5*$F12/$C$2</f>
        <v>0.1267885</v>
      </c>
      <c r="J12" s="3"/>
      <c r="K12">
        <f>($C$5*$F12/($L12-$C$13))-($C$14/($L12^2))-$C$2</f>
        <v>4.3622391387998505E-6</v>
      </c>
      <c r="L12" s="11">
        <v>0.10520107200062609</v>
      </c>
      <c r="M12" s="3">
        <f t="shared" ref="M12:M75" si="2">$C$21*($G12^(-1/2))*($C$5^2)*($C$6^2)/$C$3</f>
        <v>1.8451418214889441</v>
      </c>
      <c r="N12">
        <f>($C$5*$F12/($O12-$C$22))-($M12/$O12/($O12+$C$22))-$C$2</f>
        <v>-4.062881657773687E-7</v>
      </c>
      <c r="O12" s="11">
        <v>0.10826370679400109</v>
      </c>
      <c r="P12" s="3">
        <f>(1+$C$34*(1-($G12^(1/2))))^2</f>
        <v>0.75087135080625256</v>
      </c>
      <c r="Q12">
        <f>($C$5*$F12/($R12-$C$31))-($P12*$C$32/$R12/($R12+$C$31))-$C$2</f>
        <v>-7.2607889478604193E-6</v>
      </c>
      <c r="R12" s="11">
        <v>0.11119297926016077</v>
      </c>
      <c r="S12" s="3">
        <f>(1+($C$42*(1-($G12^(1/2)))))^2</f>
        <v>0.80250899744689941</v>
      </c>
      <c r="T12">
        <f>($C$5*$F12/($U12-$C$40))-($S12*$C$41/($U12*($U12+$C$40)+$C$40*($U12-$C$40)))-$C$2</f>
        <v>-5.9450129015203856E-6</v>
      </c>
      <c r="U12" s="11">
        <v>0.10431529273601113</v>
      </c>
    </row>
    <row r="13" spans="1:21" x14ac:dyDescent="0.35">
      <c r="A13" t="s">
        <v>33</v>
      </c>
      <c r="B13" s="1" t="s">
        <v>33</v>
      </c>
      <c r="C13">
        <f>0.125*C5*C6/C3</f>
        <v>4.3070460969776035E-2</v>
      </c>
      <c r="F13" s="2">
        <v>310</v>
      </c>
      <c r="G13">
        <f t="shared" si="0"/>
        <v>1.6264428121720882</v>
      </c>
      <c r="I13" s="5">
        <f t="shared" si="1"/>
        <v>0.12886700000000001</v>
      </c>
      <c r="J13" s="3"/>
      <c r="K13">
        <f>($C$5*$F13/($L13-$C$13))-($C$14/($L13^2))-$C$2</f>
        <v>-5.5080134586660279E-6</v>
      </c>
      <c r="L13" s="11">
        <v>0.10777981833502311</v>
      </c>
      <c r="M13" s="3">
        <f>$C$21*($G13^(-1/2))*($C$5^2)*($C$6^2)/$C$3</f>
        <v>1.8302011559893727</v>
      </c>
      <c r="N13">
        <f t="shared" ref="N13:N75" si="3">($C$5*$F13/($O13-$C$22))-($M13/$O13/($O13+$C$22))-$C$2</f>
        <v>5.3714143746219634E-6</v>
      </c>
      <c r="O13" s="11">
        <v>0.11127374634055386</v>
      </c>
      <c r="P13" s="3">
        <f t="shared" ref="P13:P75" si="4">(1+$C$34*(1-($G13^(1/2))))^2</f>
        <v>0.74188424219683735</v>
      </c>
      <c r="Q13">
        <f t="shared" ref="Q13:Q75" si="5">($C$5*$F13/($R13-$C$31))-($P13*$C$32/$R13/($R13+$C$31))-$C$2</f>
        <v>1.0395748404334881E-5</v>
      </c>
      <c r="R13" s="11">
        <v>0.11435420609792964</v>
      </c>
      <c r="S13" s="3">
        <f t="shared" ref="S13:S75" si="6">(1+($C$42*(1-($G13^(1/2)))))^2</f>
        <v>0.79525225734074079</v>
      </c>
      <c r="T13">
        <f t="shared" ref="T13:T75" si="7">($C$5*$F13/($U13-$C$40))-($S13*$C$41/($U13*($U13+$C$40)+$C$40*($U13-$C$40)))-$C$2</f>
        <v>-4.2448648969184433E-6</v>
      </c>
      <c r="U13" s="11">
        <v>0.10740412615704448</v>
      </c>
    </row>
    <row r="14" spans="1:21" x14ac:dyDescent="0.35">
      <c r="A14" t="s">
        <v>34</v>
      </c>
      <c r="B14" s="1" t="s">
        <v>34</v>
      </c>
      <c r="C14">
        <f>0.421875*(C5^2)*(C6^2)/C3</f>
        <v>2.3034893758768593</v>
      </c>
      <c r="F14" s="2">
        <v>315</v>
      </c>
      <c r="G14">
        <f t="shared" si="0"/>
        <v>1.6526757607555089</v>
      </c>
      <c r="I14" s="5">
        <f t="shared" si="1"/>
        <v>0.13094550000000002</v>
      </c>
      <c r="J14" s="3"/>
      <c r="K14">
        <f t="shared" ref="K14:K75" si="8">($C$5*$F14/($L14-$C$13))-($C$14/($L14^2))-$C$2</f>
        <v>4.754858252908889E-6</v>
      </c>
      <c r="L14" s="11">
        <v>0.11038934532285757</v>
      </c>
      <c r="M14" s="3">
        <f t="shared" si="2"/>
        <v>1.8156176474358012</v>
      </c>
      <c r="N14">
        <f t="shared" si="3"/>
        <v>-1.4165235995733383E-5</v>
      </c>
      <c r="O14" s="11">
        <v>0.11426481716739476</v>
      </c>
      <c r="P14" s="3">
        <f t="shared" si="4"/>
        <v>0.73302277974421448</v>
      </c>
      <c r="Q14">
        <f t="shared" si="5"/>
        <v>-1.1214180062779633E-5</v>
      </c>
      <c r="R14" s="11">
        <v>0.11749124270884899</v>
      </c>
      <c r="S14" s="3">
        <f t="shared" si="6"/>
        <v>0.78808637004333437</v>
      </c>
      <c r="T14">
        <f t="shared" si="7"/>
        <v>-3.0654967133614264E-6</v>
      </c>
      <c r="U14" s="11">
        <v>0.11047266583516135</v>
      </c>
    </row>
    <row r="15" spans="1:21" x14ac:dyDescent="0.35">
      <c r="B15" s="1"/>
      <c r="F15" s="2">
        <v>320</v>
      </c>
      <c r="G15">
        <f t="shared" si="0"/>
        <v>1.6789087093389297</v>
      </c>
      <c r="I15" s="5">
        <f t="shared" si="1"/>
        <v>0.133024</v>
      </c>
      <c r="J15" s="3"/>
      <c r="K15">
        <f t="shared" si="8"/>
        <v>-2.4718683675928332E-5</v>
      </c>
      <c r="L15" s="11">
        <v>0.11302427775606927</v>
      </c>
      <c r="M15" s="3">
        <f t="shared" si="2"/>
        <v>1.80137728916073</v>
      </c>
      <c r="N15">
        <f t="shared" si="3"/>
        <v>-2.2063680091832794E-6</v>
      </c>
      <c r="O15" s="11">
        <v>0.11723531958945228</v>
      </c>
      <c r="P15" s="3">
        <f t="shared" si="4"/>
        <v>0.72428398346202116</v>
      </c>
      <c r="Q15">
        <f t="shared" si="5"/>
        <v>1.4421744026549277E-5</v>
      </c>
      <c r="R15" s="11">
        <v>0.12060266367432737</v>
      </c>
      <c r="S15" s="3">
        <f t="shared" si="6"/>
        <v>0.78100918077224957</v>
      </c>
      <c r="T15">
        <f t="shared" si="7"/>
        <v>-2.231267387742264E-6</v>
      </c>
      <c r="U15" s="11">
        <v>0.11351956147454491</v>
      </c>
    </row>
    <row r="16" spans="1:21" x14ac:dyDescent="0.35">
      <c r="B16" s="1"/>
      <c r="F16" s="2">
        <v>325</v>
      </c>
      <c r="G16">
        <f t="shared" si="0"/>
        <v>1.7051416579223506</v>
      </c>
      <c r="I16" s="5">
        <f t="shared" si="1"/>
        <v>0.13510250000000001</v>
      </c>
      <c r="J16" s="3"/>
      <c r="K16">
        <f t="shared" si="8"/>
        <v>3.05469645525136E-5</v>
      </c>
      <c r="L16" s="11">
        <v>0.11567957355509537</v>
      </c>
      <c r="M16" s="3">
        <f t="shared" si="2"/>
        <v>1.7874668316486317</v>
      </c>
      <c r="N16">
        <f t="shared" si="3"/>
        <v>3.319030440707138E-6</v>
      </c>
      <c r="O16" s="11">
        <v>0.12018422574375533</v>
      </c>
      <c r="P16" s="3">
        <f t="shared" si="4"/>
        <v>0.71566498932920841</v>
      </c>
      <c r="Q16">
        <f t="shared" si="5"/>
        <v>1.042570971776513E-5</v>
      </c>
      <c r="R16" s="11">
        <v>0.12368767593556823</v>
      </c>
      <c r="S16" s="3">
        <f t="shared" si="6"/>
        <v>0.77401861859779608</v>
      </c>
      <c r="T16">
        <f t="shared" si="7"/>
        <v>1.0241326378945814E-5</v>
      </c>
      <c r="U16" s="11">
        <v>0.1165439424125405</v>
      </c>
    </row>
    <row r="17" spans="1:21" x14ac:dyDescent="0.35">
      <c r="B17" s="1"/>
      <c r="F17" s="2">
        <v>330</v>
      </c>
      <c r="G17">
        <f t="shared" si="0"/>
        <v>1.7313746065057714</v>
      </c>
      <c r="I17" s="5">
        <f t="shared" si="1"/>
        <v>0.13718100000000003</v>
      </c>
      <c r="J17" s="3"/>
      <c r="K17">
        <f t="shared" si="8"/>
        <v>1.7802178120973622E-5</v>
      </c>
      <c r="L17" s="11">
        <v>0.11835077264803417</v>
      </c>
      <c r="M17" s="3">
        <f t="shared" si="2"/>
        <v>1.7738737307128229</v>
      </c>
      <c r="N17">
        <f t="shared" si="3"/>
        <v>-3.5741817328016623E-7</v>
      </c>
      <c r="O17" s="11">
        <v>0.12311090797408913</v>
      </c>
      <c r="P17" s="3">
        <f t="shared" si="4"/>
        <v>0.70716304306883582</v>
      </c>
      <c r="Q17">
        <f t="shared" si="5"/>
        <v>4.6599754739418131E-6</v>
      </c>
      <c r="R17" s="11">
        <v>0.12674585719374051</v>
      </c>
      <c r="S17" s="3">
        <f t="shared" si="6"/>
        <v>0.76711269194456455</v>
      </c>
      <c r="T17">
        <f t="shared" si="7"/>
        <v>7.7268364009341894E-6</v>
      </c>
      <c r="U17" s="11">
        <v>0.11954534012578888</v>
      </c>
    </row>
    <row r="18" spans="1:21" x14ac:dyDescent="0.35">
      <c r="F18" s="2">
        <v>335</v>
      </c>
      <c r="G18">
        <f t="shared" si="0"/>
        <v>1.7576075550891921</v>
      </c>
      <c r="I18" s="5">
        <f t="shared" si="1"/>
        <v>0.13925950000000001</v>
      </c>
      <c r="J18" s="3"/>
      <c r="K18">
        <f t="shared" si="8"/>
        <v>5.0837690253047185E-6</v>
      </c>
      <c r="L18" s="12">
        <v>0.12103379082102129</v>
      </c>
      <c r="M18" s="3">
        <f t="shared" si="2"/>
        <v>1.7605860999426697</v>
      </c>
      <c r="N18">
        <f t="shared" si="3"/>
        <v>2.8578199930962001E-6</v>
      </c>
      <c r="O18" s="11">
        <v>0.12601505673749455</v>
      </c>
      <c r="P18" s="3">
        <f t="shared" si="4"/>
        <v>0.69877549434950403</v>
      </c>
      <c r="Q18">
        <f t="shared" si="5"/>
        <v>-8.5287971387515427E-6</v>
      </c>
      <c r="R18" s="11">
        <v>0.12977713122503148</v>
      </c>
      <c r="S18" s="3">
        <f t="shared" si="6"/>
        <v>0.76028948439857202</v>
      </c>
      <c r="T18">
        <f t="shared" si="7"/>
        <v>5.7961527772931731E-6</v>
      </c>
      <c r="U18" s="11">
        <v>0.12252355961406924</v>
      </c>
    </row>
    <row r="19" spans="1:21" x14ac:dyDescent="0.35">
      <c r="A19" s="13" t="s">
        <v>35</v>
      </c>
      <c r="B19" s="13"/>
      <c r="C19" s="13"/>
      <c r="F19" s="2">
        <v>340</v>
      </c>
      <c r="G19">
        <f t="shared" si="0"/>
        <v>1.7838405036726128</v>
      </c>
      <c r="I19" s="5">
        <f t="shared" si="1"/>
        <v>0.14133800000000002</v>
      </c>
      <c r="J19" s="3"/>
      <c r="K19">
        <f t="shared" si="8"/>
        <v>0</v>
      </c>
      <c r="L19" s="12">
        <v>0.1237250426919433</v>
      </c>
      <c r="M19" s="3">
        <f t="shared" si="2"/>
        <v>1.747592667011411</v>
      </c>
      <c r="N19">
        <f t="shared" si="3"/>
        <v>-1.6547747009099112E-5</v>
      </c>
      <c r="O19" s="11">
        <v>0.12889664468323486</v>
      </c>
      <c r="P19" s="3">
        <f t="shared" si="4"/>
        <v>0.69049979137485984</v>
      </c>
      <c r="Q19">
        <f t="shared" si="5"/>
        <v>-2.5770105196443183E-6</v>
      </c>
      <c r="R19" s="11">
        <v>0.13278165190640218</v>
      </c>
      <c r="S19" s="3">
        <f t="shared" si="6"/>
        <v>0.75354715079501677</v>
      </c>
      <c r="T19">
        <f t="shared" si="7"/>
        <v>4.2983256207662635E-6</v>
      </c>
      <c r="U19" s="11">
        <v>0.12547864174479742</v>
      </c>
    </row>
    <row r="20" spans="1:21" x14ac:dyDescent="0.35">
      <c r="A20" t="s">
        <v>29</v>
      </c>
      <c r="B20" s="1" t="s">
        <v>30</v>
      </c>
      <c r="C20">
        <v>8.6639999999999995E-2</v>
      </c>
      <c r="F20" s="2">
        <v>345</v>
      </c>
      <c r="G20">
        <f t="shared" si="0"/>
        <v>1.8100734522560336</v>
      </c>
      <c r="I20" s="5">
        <f t="shared" si="1"/>
        <v>0.1434165</v>
      </c>
      <c r="J20" s="3"/>
      <c r="K20">
        <f t="shared" si="8"/>
        <v>-2.3713514565315563E-6</v>
      </c>
      <c r="L20" s="12">
        <v>0.12642140369914986</v>
      </c>
      <c r="M20" s="3">
        <f t="shared" si="2"/>
        <v>1.7348827334795585</v>
      </c>
      <c r="N20">
        <f t="shared" si="3"/>
        <v>-7.1801625267653435E-6</v>
      </c>
      <c r="O20" s="11">
        <v>0.13175579379934182</v>
      </c>
      <c r="P20" s="3">
        <f t="shared" si="4"/>
        <v>0.68233347582989035</v>
      </c>
      <c r="Q20">
        <f t="shared" si="5"/>
        <v>2.784336288641498E-6</v>
      </c>
      <c r="R20" s="11">
        <v>0.13575978698171656</v>
      </c>
      <c r="S20" s="3">
        <f t="shared" si="6"/>
        <v>0.7468839135640194</v>
      </c>
      <c r="T20">
        <f t="shared" si="7"/>
        <v>3.126397359665134E-6</v>
      </c>
      <c r="U20" s="11">
        <v>0.12841080019036286</v>
      </c>
    </row>
    <row r="21" spans="1:21" x14ac:dyDescent="0.35">
      <c r="A21" t="s">
        <v>31</v>
      </c>
      <c r="B21" s="1" t="s">
        <v>32</v>
      </c>
      <c r="C21">
        <v>0.42748000000000003</v>
      </c>
      <c r="F21" s="2">
        <v>350</v>
      </c>
      <c r="G21">
        <f t="shared" si="0"/>
        <v>1.8363064008394545</v>
      </c>
      <c r="I21" s="5">
        <f t="shared" si="1"/>
        <v>0.14549500000000001</v>
      </c>
      <c r="J21" s="3"/>
      <c r="K21">
        <f t="shared" si="8"/>
        <v>5.4928108852436708E-6</v>
      </c>
      <c r="L21" s="12">
        <v>0.12912016897210485</v>
      </c>
      <c r="M21" s="3">
        <f t="shared" si="2"/>
        <v>1.7224461377681111</v>
      </c>
      <c r="N21">
        <f t="shared" si="3"/>
        <v>-2.1519009294479474E-6</v>
      </c>
      <c r="O21" s="11">
        <v>0.13459282501778819</v>
      </c>
      <c r="P21" s="3">
        <f t="shared" si="4"/>
        <v>0.67427417815566482</v>
      </c>
      <c r="Q21">
        <f t="shared" si="5"/>
        <v>1.2393513770803111E-6</v>
      </c>
      <c r="R21" s="11">
        <v>0.13871203403797672</v>
      </c>
      <c r="S21" s="3">
        <f t="shared" si="6"/>
        <v>0.74029805931386272</v>
      </c>
      <c r="T21">
        <f t="shared" si="7"/>
        <v>2.2029463480066624E-6</v>
      </c>
      <c r="U21" s="11">
        <v>0.13132037798602528</v>
      </c>
    </row>
    <row r="22" spans="1:21" x14ac:dyDescent="0.35">
      <c r="A22" t="s">
        <v>36</v>
      </c>
      <c r="B22" s="1" t="s">
        <v>37</v>
      </c>
      <c r="C22">
        <f>C20*C5*C6/C3</f>
        <v>2.9852997907371167E-2</v>
      </c>
      <c r="F22" s="2">
        <v>355</v>
      </c>
      <c r="G22">
        <f t="shared" si="0"/>
        <v>1.8625393494228752</v>
      </c>
      <c r="I22" s="5">
        <f t="shared" si="1"/>
        <v>0.1475735</v>
      </c>
      <c r="J22" s="3"/>
      <c r="K22">
        <f t="shared" si="8"/>
        <v>-7.1429414560952864E-6</v>
      </c>
      <c r="L22" s="12">
        <v>0.13181904679341472</v>
      </c>
      <c r="M22" s="3">
        <f t="shared" si="2"/>
        <v>1.7102732210103355</v>
      </c>
      <c r="N22">
        <f t="shared" si="3"/>
        <v>1.0022953603083806E-5</v>
      </c>
      <c r="O22" s="11">
        <v>0.13740814384256322</v>
      </c>
      <c r="P22" s="3">
        <f t="shared" si="4"/>
        <v>0.66631961312680654</v>
      </c>
      <c r="Q22">
        <f t="shared" si="5"/>
        <v>1.3185998852804914E-6</v>
      </c>
      <c r="R22" s="11">
        <v>0.14163897974016748</v>
      </c>
      <c r="S22" s="3">
        <f t="shared" si="6"/>
        <v>0.73378793563312872</v>
      </c>
      <c r="T22">
        <f t="shared" si="7"/>
        <v>-1.0900901827426424E-5</v>
      </c>
      <c r="U22" s="11">
        <v>0.13420782108429058</v>
      </c>
    </row>
    <row r="23" spans="1:21" x14ac:dyDescent="0.35">
      <c r="B23" s="1"/>
      <c r="F23" s="2">
        <v>360</v>
      </c>
      <c r="G23">
        <f t="shared" si="0"/>
        <v>1.888772298006296</v>
      </c>
      <c r="I23" s="5">
        <f t="shared" si="1"/>
        <v>0.14965200000000001</v>
      </c>
      <c r="J23" s="3"/>
      <c r="K23">
        <f t="shared" si="8"/>
        <v>-3.1873710781837872E-7</v>
      </c>
      <c r="L23" s="12">
        <v>0.13451605952771059</v>
      </c>
      <c r="M23" s="3">
        <f t="shared" si="2"/>
        <v>1.698354795521323</v>
      </c>
      <c r="N23">
        <f t="shared" si="3"/>
        <v>1.0043044596841355E-5</v>
      </c>
      <c r="O23" s="11">
        <v>0.14020225605005407</v>
      </c>
      <c r="P23" s="3">
        <f t="shared" si="4"/>
        <v>0.65846757570832082</v>
      </c>
      <c r="Q23">
        <f t="shared" si="5"/>
        <v>7.2064943879013299E-7</v>
      </c>
      <c r="R23" s="11">
        <v>0.14454128557223245</v>
      </c>
      <c r="S23" s="3">
        <f t="shared" si="6"/>
        <v>0.72735194809483472</v>
      </c>
      <c r="T23">
        <f t="shared" si="7"/>
        <v>-6.7438912196848833E-6</v>
      </c>
      <c r="U23" s="11">
        <v>0.13707361707350446</v>
      </c>
    </row>
    <row r="24" spans="1:21" x14ac:dyDescent="0.35">
      <c r="B24" s="1"/>
      <c r="F24" s="2">
        <v>365</v>
      </c>
      <c r="G24">
        <f t="shared" si="0"/>
        <v>1.9150052465897167</v>
      </c>
      <c r="I24" s="5">
        <f t="shared" si="1"/>
        <v>0.15173050000000002</v>
      </c>
      <c r="J24" s="3"/>
      <c r="K24">
        <f t="shared" si="8"/>
        <v>3.8691430574999686E-6</v>
      </c>
      <c r="L24" s="12">
        <v>0.13720958017251728</v>
      </c>
      <c r="M24" s="3">
        <f t="shared" si="2"/>
        <v>1.6866821156514211</v>
      </c>
      <c r="N24">
        <f t="shared" si="3"/>
        <v>-1.270199732061883E-7</v>
      </c>
      <c r="O24" s="11">
        <v>0.14297571120773386</v>
      </c>
      <c r="P24" s="3">
        <f t="shared" si="4"/>
        <v>0.65071593717051157</v>
      </c>
      <c r="Q24">
        <f t="shared" si="5"/>
        <v>-4.1689592649163387E-6</v>
      </c>
      <c r="R24" s="11">
        <v>0.14741965866884699</v>
      </c>
      <c r="S24" s="3">
        <f t="shared" si="6"/>
        <v>0.72098855744718926</v>
      </c>
      <c r="T24">
        <f t="shared" si="7"/>
        <v>-3.2933079125996301E-6</v>
      </c>
      <c r="U24" s="11">
        <v>0.13991833032915652</v>
      </c>
    </row>
    <row r="25" spans="1:21" x14ac:dyDescent="0.35">
      <c r="B25" s="1"/>
      <c r="F25" s="2">
        <v>370</v>
      </c>
      <c r="G25">
        <f t="shared" si="0"/>
        <v>1.9412381951731374</v>
      </c>
      <c r="I25" s="5">
        <f t="shared" si="1"/>
        <v>0.153809</v>
      </c>
      <c r="J25" s="3"/>
      <c r="K25">
        <f t="shared" si="8"/>
        <v>-2.0511527054623002E-7</v>
      </c>
      <c r="L25" s="12">
        <v>0.13989825102845657</v>
      </c>
      <c r="M25" s="3">
        <f t="shared" si="2"/>
        <v>1.6752468508134164</v>
      </c>
      <c r="N25">
        <f t="shared" si="3"/>
        <v>-4.3051221609857748E-7</v>
      </c>
      <c r="O25" s="11">
        <v>0.14572908453588754</v>
      </c>
      <c r="P25" s="3">
        <f t="shared" si="4"/>
        <v>0.64306264144260195</v>
      </c>
      <c r="Q25">
        <f t="shared" si="5"/>
        <v>-1.6720429130145931E-6</v>
      </c>
      <c r="R25" s="11">
        <v>0.15027482230707151</v>
      </c>
      <c r="S25" s="3">
        <f t="shared" si="6"/>
        <v>0.71469627697695015</v>
      </c>
      <c r="T25">
        <f t="shared" si="7"/>
        <v>3.3469810887254425E-6</v>
      </c>
      <c r="U25" s="11">
        <v>0.14274254201929712</v>
      </c>
    </row>
    <row r="26" spans="1:21" x14ac:dyDescent="0.35">
      <c r="B26" s="1"/>
      <c r="F26" s="2">
        <v>375</v>
      </c>
      <c r="G26">
        <f t="shared" si="0"/>
        <v>1.9674711437565584</v>
      </c>
      <c r="I26" s="5">
        <f t="shared" si="1"/>
        <v>0.15588750000000001</v>
      </c>
      <c r="J26" s="3"/>
      <c r="K26">
        <f t="shared" si="8"/>
        <v>-1.8966716197610367E-7</v>
      </c>
      <c r="L26" s="12">
        <v>0.14258094612783606</v>
      </c>
      <c r="M26" s="3">
        <f t="shared" si="2"/>
        <v>1.6640410604944409</v>
      </c>
      <c r="N26">
        <f t="shared" si="3"/>
        <v>1.2294995030970313E-6</v>
      </c>
      <c r="O26" s="11">
        <v>0.14846299298518664</v>
      </c>
      <c r="P26" s="3">
        <f t="shared" si="4"/>
        <v>0.63550570168737619</v>
      </c>
      <c r="Q26">
        <f t="shared" si="5"/>
        <v>-5.2183105481162784E-7</v>
      </c>
      <c r="R26" s="11">
        <v>0.15310752621709464</v>
      </c>
      <c r="S26" s="3">
        <f t="shared" si="6"/>
        <v>0.7084736700326022</v>
      </c>
      <c r="T26">
        <f t="shared" si="7"/>
        <v>-1.9026916788789094E-6</v>
      </c>
      <c r="U26" s="11">
        <v>0.1455468640463862</v>
      </c>
    </row>
    <row r="27" spans="1:21" x14ac:dyDescent="0.35">
      <c r="F27" s="2">
        <v>380</v>
      </c>
      <c r="G27">
        <f t="shared" si="0"/>
        <v>1.9937040923399791</v>
      </c>
      <c r="I27" s="5">
        <f t="shared" si="1"/>
        <v>0.15796600000000002</v>
      </c>
      <c r="J27" s="3"/>
      <c r="K27">
        <f t="shared" si="8"/>
        <v>-1.3969371423172561E-5</v>
      </c>
      <c r="L27" s="12">
        <v>0.14525676906431201</v>
      </c>
      <c r="M27" s="3">
        <f t="shared" si="2"/>
        <v>1.6530571710822877</v>
      </c>
      <c r="N27">
        <f t="shared" si="3"/>
        <v>8.5912645886310202E-7</v>
      </c>
      <c r="O27" s="11">
        <v>0.15117806319554389</v>
      </c>
      <c r="P27" s="3">
        <f t="shared" si="4"/>
        <v>0.62804319708068712</v>
      </c>
      <c r="Q27">
        <f t="shared" si="5"/>
        <v>-1.1403651001273829E-7</v>
      </c>
      <c r="R27" s="11">
        <v>0.15591851604795431</v>
      </c>
      <c r="S27" s="3">
        <f t="shared" si="6"/>
        <v>0.70231934769566706</v>
      </c>
      <c r="T27">
        <f t="shared" si="7"/>
        <v>-3.7216935879769153E-6</v>
      </c>
      <c r="U27" s="11">
        <v>0.14833189576352038</v>
      </c>
    </row>
    <row r="28" spans="1:21" x14ac:dyDescent="0.35">
      <c r="A28" s="13" t="s">
        <v>38</v>
      </c>
      <c r="B28" s="13"/>
      <c r="C28" s="13"/>
      <c r="F28" s="2">
        <v>385</v>
      </c>
      <c r="G28">
        <f t="shared" si="0"/>
        <v>2.0199370409233999</v>
      </c>
      <c r="I28" s="5">
        <f t="shared" si="1"/>
        <v>0.16004450000000003</v>
      </c>
      <c r="J28" s="3"/>
      <c r="K28">
        <f t="shared" si="8"/>
        <v>-6.2293084965858725E-6</v>
      </c>
      <c r="L28" s="12">
        <v>0.14792496992096021</v>
      </c>
      <c r="M28" s="3">
        <f t="shared" si="2"/>
        <v>1.6422879543524531</v>
      </c>
      <c r="N28">
        <f t="shared" si="3"/>
        <v>-5.9309190589829086E-6</v>
      </c>
      <c r="O28" s="11">
        <v>0.15387492555664065</v>
      </c>
      <c r="P28" s="3">
        <f t="shared" si="4"/>
        <v>0.6206732697810482</v>
      </c>
      <c r="Q28">
        <f t="shared" si="5"/>
        <v>6.7582624296846916E-7</v>
      </c>
      <c r="R28" s="11">
        <v>0.15870853129205942</v>
      </c>
      <c r="S28" s="3">
        <f t="shared" si="6"/>
        <v>0.69623196658946229</v>
      </c>
      <c r="T28">
        <f t="shared" si="7"/>
        <v>-5.1325020535841759E-6</v>
      </c>
      <c r="U28" s="11">
        <v>0.15109824939069619</v>
      </c>
    </row>
    <row r="29" spans="1:21" x14ac:dyDescent="0.35">
      <c r="A29" t="s">
        <v>29</v>
      </c>
      <c r="B29" s="1" t="s">
        <v>30</v>
      </c>
      <c r="C29">
        <v>8.6639999999999995E-2</v>
      </c>
      <c r="F29" s="2">
        <v>390</v>
      </c>
      <c r="G29">
        <f t="shared" si="0"/>
        <v>2.0461699895068208</v>
      </c>
      <c r="I29" s="5">
        <f t="shared" si="1"/>
        <v>0.16212300000000002</v>
      </c>
      <c r="J29" s="3"/>
      <c r="K29">
        <f t="shared" si="8"/>
        <v>-2.2472849252608285E-6</v>
      </c>
      <c r="L29" s="12">
        <v>0.1505849932637551</v>
      </c>
      <c r="M29" s="3">
        <f t="shared" si="2"/>
        <v>1.6317265074770748</v>
      </c>
      <c r="N29">
        <f t="shared" si="3"/>
        <v>-3.2314628128915501E-6</v>
      </c>
      <c r="O29" s="11">
        <v>0.15655419235234833</v>
      </c>
      <c r="P29" s="3">
        <f t="shared" si="4"/>
        <v>0.61339412207577415</v>
      </c>
      <c r="Q29">
        <f t="shared" si="5"/>
        <v>3.6696832239613286E-8</v>
      </c>
      <c r="R29" s="11">
        <v>0.16147830196697968</v>
      </c>
      <c r="S29" s="3">
        <f t="shared" si="6"/>
        <v>0.69021022681551947</v>
      </c>
      <c r="T29">
        <f t="shared" si="7"/>
        <v>-6.2150479891442956E-6</v>
      </c>
      <c r="U29" s="11">
        <v>0.15384653001818763</v>
      </c>
    </row>
    <row r="30" spans="1:21" x14ac:dyDescent="0.35">
      <c r="A30" t="s">
        <v>31</v>
      </c>
      <c r="B30" s="1" t="s">
        <v>32</v>
      </c>
      <c r="C30">
        <v>0.42748000000000003</v>
      </c>
      <c r="F30" s="2">
        <v>395</v>
      </c>
      <c r="G30">
        <f t="shared" si="0"/>
        <v>2.0724029380902413</v>
      </c>
      <c r="I30" s="5">
        <f t="shared" si="1"/>
        <v>0.1642015</v>
      </c>
      <c r="J30" s="3"/>
      <c r="K30">
        <f t="shared" si="8"/>
        <v>0</v>
      </c>
      <c r="L30" s="12">
        <v>0.15323639793052746</v>
      </c>
      <c r="M30" s="3">
        <f t="shared" si="2"/>
        <v>1.6213662344301254</v>
      </c>
      <c r="N30">
        <f t="shared" si="3"/>
        <v>-8.8804426923161373E-8</v>
      </c>
      <c r="O30" s="11">
        <v>0.1592164851989675</v>
      </c>
      <c r="P30" s="3">
        <f t="shared" si="4"/>
        <v>0.60620401369126098</v>
      </c>
      <c r="Q30">
        <f t="shared" si="5"/>
        <v>-3.0468072509393096E-10</v>
      </c>
      <c r="R30" s="11">
        <v>0.16422853940337739</v>
      </c>
      <c r="S30" s="3">
        <f t="shared" si="6"/>
        <v>0.68425287000868862</v>
      </c>
      <c r="T30">
        <f t="shared" si="7"/>
        <v>-7.0327712080597848E-6</v>
      </c>
      <c r="U30" s="11">
        <v>0.15657733333876978</v>
      </c>
    </row>
    <row r="31" spans="1:21" x14ac:dyDescent="0.35">
      <c r="A31" t="s">
        <v>36</v>
      </c>
      <c r="B31" s="1" t="s">
        <v>37</v>
      </c>
      <c r="C31">
        <f>C29*C5*C6/C3</f>
        <v>2.9852997907371167E-2</v>
      </c>
      <c r="F31" s="2">
        <v>400</v>
      </c>
      <c r="G31">
        <f t="shared" si="0"/>
        <v>2.0986358866736623</v>
      </c>
      <c r="I31" s="5">
        <f t="shared" si="1"/>
        <v>0.16628000000000001</v>
      </c>
      <c r="J31" s="3"/>
      <c r="K31">
        <f t="shared" si="8"/>
        <v>-2.2727269310962583E-7</v>
      </c>
      <c r="L31" s="12">
        <v>0.15587885634939086</v>
      </c>
      <c r="M31" s="3">
        <f t="shared" si="2"/>
        <v>1.611200828675075</v>
      </c>
      <c r="N31">
        <f t="shared" si="3"/>
        <v>-6.1534717588074272E-7</v>
      </c>
      <c r="O31" s="11">
        <v>0.16186241021877604</v>
      </c>
      <c r="P31" s="3">
        <f t="shared" si="4"/>
        <v>0.59910125925601221</v>
      </c>
      <c r="Q31">
        <f t="shared" si="5"/>
        <v>-3.9535962059744634E-8</v>
      </c>
      <c r="R31" s="11">
        <v>0.16695993796443312</v>
      </c>
      <c r="S31" s="3">
        <f t="shared" si="6"/>
        <v>0.67835867750269163</v>
      </c>
      <c r="T31">
        <f t="shared" si="7"/>
        <v>-7.636353956286257E-6</v>
      </c>
      <c r="U31" s="11">
        <v>0.1592912425272805</v>
      </c>
    </row>
    <row r="32" spans="1:21" x14ac:dyDescent="0.35">
      <c r="A32" t="s">
        <v>34</v>
      </c>
      <c r="B32" s="1" t="s">
        <v>34</v>
      </c>
      <c r="C32">
        <f>C30*(C5^2)*(C6^2)/C3</f>
        <v>2.3340933650959168</v>
      </c>
      <c r="F32" s="2">
        <v>405</v>
      </c>
      <c r="G32">
        <f t="shared" si="0"/>
        <v>2.1248688352570828</v>
      </c>
      <c r="I32" s="5">
        <f t="shared" si="1"/>
        <v>0.16835849999999999</v>
      </c>
      <c r="J32" s="3"/>
      <c r="K32">
        <f t="shared" si="8"/>
        <v>-4.9443988814346085E-7</v>
      </c>
      <c r="L32" s="12">
        <v>0.1585121328887138</v>
      </c>
      <c r="M32" s="3">
        <f t="shared" si="2"/>
        <v>1.6012242570317594</v>
      </c>
      <c r="N32">
        <f t="shared" si="3"/>
        <v>-2.0204373640808626E-7</v>
      </c>
      <c r="O32" s="11">
        <v>0.16449255208035074</v>
      </c>
      <c r="P32" s="3">
        <f t="shared" si="4"/>
        <v>0.59208422590594101</v>
      </c>
      <c r="Q32">
        <f t="shared" si="5"/>
        <v>-4.6497081029883702E-7</v>
      </c>
      <c r="R32" s="11">
        <v>0.1696731709138122</v>
      </c>
      <c r="S32" s="3">
        <f t="shared" si="6"/>
        <v>0.67252646859855325</v>
      </c>
      <c r="T32">
        <f t="shared" si="7"/>
        <v>-8.0665510324706702E-6</v>
      </c>
      <c r="U32" s="11">
        <v>0.1619888260016196</v>
      </c>
    </row>
    <row r="33" spans="1:21" x14ac:dyDescent="0.35">
      <c r="A33" t="s">
        <v>39</v>
      </c>
      <c r="B33" s="1" t="s">
        <v>40</v>
      </c>
      <c r="C33">
        <v>1.2E-2</v>
      </c>
      <c r="F33" s="2">
        <v>410</v>
      </c>
      <c r="G33">
        <f t="shared" si="0"/>
        <v>2.1511017838405038</v>
      </c>
      <c r="I33" s="5">
        <f t="shared" si="1"/>
        <v>0.17043700000000001</v>
      </c>
      <c r="J33" s="3"/>
      <c r="K33">
        <f t="shared" si="8"/>
        <v>1.741290134305018E-6</v>
      </c>
      <c r="L33" s="12">
        <v>0.1611360707965695</v>
      </c>
      <c r="M33" s="3">
        <f t="shared" si="2"/>
        <v>1.5914307446287159</v>
      </c>
      <c r="N33">
        <f t="shared" si="3"/>
        <v>-1.0758765256468905E-7</v>
      </c>
      <c r="O33" s="11">
        <v>0.16710748298846573</v>
      </c>
      <c r="P33" s="3">
        <f t="shared" si="4"/>
        <v>0.58515133102231387</v>
      </c>
      <c r="Q33">
        <f t="shared" si="5"/>
        <v>-1.8244115835841512E-6</v>
      </c>
      <c r="R33" s="11">
        <v>0.17236888938557646</v>
      </c>
      <c r="S33" s="3">
        <f t="shared" si="6"/>
        <v>0.66675509892894214</v>
      </c>
      <c r="T33">
        <f t="shared" si="7"/>
        <v>-8.3562246402379969E-6</v>
      </c>
      <c r="U33" s="11">
        <v>0.16467063587275763</v>
      </c>
    </row>
    <row r="34" spans="1:21" x14ac:dyDescent="0.35">
      <c r="A34" t="s">
        <v>41</v>
      </c>
      <c r="B34" s="1" t="s">
        <v>41</v>
      </c>
      <c r="C34">
        <f>0.48508+(1.55171*C33)-(0.1561*(C33^2))</f>
        <v>0.50367804159999996</v>
      </c>
      <c r="F34" s="2">
        <v>415</v>
      </c>
      <c r="G34">
        <f t="shared" si="0"/>
        <v>2.1773347324239247</v>
      </c>
      <c r="I34" s="5">
        <f t="shared" si="1"/>
        <v>0.17251550000000002</v>
      </c>
      <c r="J34" s="3"/>
      <c r="K34">
        <f t="shared" si="8"/>
        <v>2.97731975251736E-6</v>
      </c>
      <c r="L34" s="12">
        <v>0.16375058387170069</v>
      </c>
      <c r="M34" s="3">
        <f t="shared" si="2"/>
        <v>1.5818147608556961</v>
      </c>
      <c r="N34">
        <f t="shared" si="3"/>
        <v>4.1103035641754104E-7</v>
      </c>
      <c r="O34" s="11">
        <v>0.16970775550592399</v>
      </c>
      <c r="P34" s="3">
        <f t="shared" si="4"/>
        <v>0.5783010400934705</v>
      </c>
      <c r="Q34">
        <f t="shared" si="5"/>
        <v>-1.4895272215653677E-7</v>
      </c>
      <c r="R34" s="11">
        <v>0.17504771786253823</v>
      </c>
      <c r="S34" s="3">
        <f t="shared" si="6"/>
        <v>0.66104345891201421</v>
      </c>
      <c r="T34">
        <f t="shared" si="7"/>
        <v>-8.5320917833087151E-6</v>
      </c>
      <c r="U34" s="11">
        <v>0.16733720693188178</v>
      </c>
    </row>
    <row r="35" spans="1:21" x14ac:dyDescent="0.35">
      <c r="B35" s="1"/>
      <c r="F35" s="2">
        <v>420</v>
      </c>
      <c r="G35">
        <f t="shared" si="0"/>
        <v>2.2035676810073452</v>
      </c>
      <c r="I35" s="5">
        <f t="shared" si="1"/>
        <v>0.17459400000000003</v>
      </c>
      <c r="J35" s="3"/>
      <c r="K35">
        <f t="shared" si="8"/>
        <v>-2.5611219029997301E-6</v>
      </c>
      <c r="L35" s="12">
        <v>0.16635564285277973</v>
      </c>
      <c r="M35" s="3">
        <f t="shared" si="2"/>
        <v>1.5723710062387426</v>
      </c>
      <c r="N35">
        <f t="shared" si="3"/>
        <v>3.6464001595959417E-8</v>
      </c>
      <c r="O35" s="11">
        <v>0.17229390493251109</v>
      </c>
      <c r="P35" s="3">
        <f t="shared" si="4"/>
        <v>0.57153186469213579</v>
      </c>
      <c r="Q35">
        <f t="shared" si="5"/>
        <v>-3.4653675129447947E-7</v>
      </c>
      <c r="R35" s="11">
        <v>0.17771026456701358</v>
      </c>
      <c r="S35" s="3">
        <f t="shared" si="6"/>
        <v>0.65539047228883651</v>
      </c>
      <c r="T35">
        <f t="shared" si="7"/>
        <v>-8.6159166414745414E-6</v>
      </c>
      <c r="U35" s="11">
        <v>0.16998905605407513</v>
      </c>
    </row>
    <row r="36" spans="1:21" x14ac:dyDescent="0.35">
      <c r="F36" s="2">
        <v>425</v>
      </c>
      <c r="G36">
        <f t="shared" si="0"/>
        <v>2.2298006295907662</v>
      </c>
      <c r="I36" s="5">
        <f t="shared" si="1"/>
        <v>0.17667250000000004</v>
      </c>
      <c r="J36" s="3"/>
      <c r="K36">
        <f t="shared" si="8"/>
        <v>1.4057624184715678E-6</v>
      </c>
      <c r="L36" s="12">
        <v>0.16895124699787578</v>
      </c>
      <c r="M36" s="3">
        <f t="shared" si="2"/>
        <v>1.5630944001670672</v>
      </c>
      <c r="N36">
        <f t="shared" si="3"/>
        <v>-2.6621989945851965E-8</v>
      </c>
      <c r="O36" s="11">
        <v>0.17486644526414949</v>
      </c>
      <c r="P36" s="3">
        <f t="shared" si="4"/>
        <v>0.56484236056077963</v>
      </c>
      <c r="Q36">
        <f t="shared" si="5"/>
        <v>-6.5928225012612529E-7</v>
      </c>
      <c r="R36" s="11">
        <v>0.18035710908502367</v>
      </c>
      <c r="S36" s="3">
        <f t="shared" si="6"/>
        <v>0.64979509473894193</v>
      </c>
      <c r="T36">
        <f t="shared" si="7"/>
        <v>-8.6254690927489719E-6</v>
      </c>
      <c r="U36" s="11">
        <v>0.17262668192357977</v>
      </c>
    </row>
    <row r="37" spans="1:21" x14ac:dyDescent="0.35">
      <c r="A37" s="13" t="s">
        <v>42</v>
      </c>
      <c r="B37" s="13"/>
      <c r="C37" s="13"/>
      <c r="F37" s="2">
        <v>430</v>
      </c>
      <c r="G37">
        <f t="shared" si="0"/>
        <v>2.2560335781741867</v>
      </c>
      <c r="I37" s="5">
        <f t="shared" si="1"/>
        <v>0.17875099999999999</v>
      </c>
      <c r="J37" s="3"/>
      <c r="K37">
        <f t="shared" si="8"/>
        <v>1.4143400335342449E-6</v>
      </c>
      <c r="L37" s="12">
        <v>0.17153745587755923</v>
      </c>
      <c r="M37" s="3">
        <f t="shared" si="2"/>
        <v>1.5539800694071493</v>
      </c>
      <c r="N37">
        <f t="shared" si="3"/>
        <v>-4.4884984617965529E-9</v>
      </c>
      <c r="O37" s="11">
        <v>0.17742587222412498</v>
      </c>
      <c r="P37" s="3">
        <f t="shared" si="4"/>
        <v>0.55823112579805367</v>
      </c>
      <c r="Q37">
        <f t="shared" si="5"/>
        <v>-1.0901663074491807E-6</v>
      </c>
      <c r="R37" s="11">
        <v>0.18298880933576367</v>
      </c>
      <c r="S37" s="3">
        <f t="shared" si="6"/>
        <v>0.64425631256896887</v>
      </c>
      <c r="T37">
        <f t="shared" si="7"/>
        <v>-8.5753476923855487E-6</v>
      </c>
      <c r="U37" s="11">
        <v>0.17525056500549413</v>
      </c>
    </row>
    <row r="38" spans="1:21" x14ac:dyDescent="0.35">
      <c r="A38" t="s">
        <v>29</v>
      </c>
      <c r="B38" s="1" t="s">
        <v>30</v>
      </c>
      <c r="C38">
        <v>7.7799999999999994E-2</v>
      </c>
      <c r="F38" s="2">
        <v>435</v>
      </c>
      <c r="G38">
        <f t="shared" si="0"/>
        <v>2.2822665267576077</v>
      </c>
      <c r="I38" s="5">
        <f t="shared" si="1"/>
        <v>0.1808295</v>
      </c>
      <c r="J38" s="3"/>
      <c r="K38">
        <f t="shared" si="8"/>
        <v>-6.5385847847210243E-8</v>
      </c>
      <c r="L38" s="12">
        <v>0.17411434746432067</v>
      </c>
      <c r="M38" s="3">
        <f t="shared" si="2"/>
        <v>1.5450233373450766</v>
      </c>
      <c r="N38">
        <f t="shared" si="3"/>
        <v>-1.0596613719826564E-7</v>
      </c>
      <c r="O38" s="11">
        <v>0.17997266223906189</v>
      </c>
      <c r="P38" s="3">
        <f t="shared" si="4"/>
        <v>0.55169679913985648</v>
      </c>
      <c r="Q38">
        <f t="shared" si="5"/>
        <v>-1.6243436959939572E-6</v>
      </c>
      <c r="R38" s="11">
        <v>0.18560590060005319</v>
      </c>
      <c r="S38" s="3">
        <f t="shared" si="6"/>
        <v>0.63877314146972508</v>
      </c>
      <c r="T38">
        <f t="shared" si="7"/>
        <v>-8.477563937958621E-6</v>
      </c>
      <c r="U38" s="11">
        <v>0.17786116770439708</v>
      </c>
    </row>
    <row r="39" spans="1:21" x14ac:dyDescent="0.35">
      <c r="A39" t="s">
        <v>31</v>
      </c>
      <c r="B39" s="1" t="s">
        <v>32</v>
      </c>
      <c r="C39">
        <v>0.45723999999999998</v>
      </c>
      <c r="F39" s="2">
        <v>440</v>
      </c>
      <c r="G39">
        <f t="shared" si="0"/>
        <v>2.3084994753410286</v>
      </c>
      <c r="I39" s="5">
        <f t="shared" si="1"/>
        <v>0.18290800000000002</v>
      </c>
      <c r="J39" s="4"/>
      <c r="K39">
        <f t="shared" si="8"/>
        <v>7.3300412850585417E-7</v>
      </c>
      <c r="L39" s="12">
        <v>0.17668202334772409</v>
      </c>
      <c r="M39" s="3">
        <f t="shared" si="2"/>
        <v>1.5362197139031808</v>
      </c>
      <c r="N39">
        <f t="shared" si="3"/>
        <v>-5.3055481430419604E-7</v>
      </c>
      <c r="O39" s="11">
        <v>0.18250727272660527</v>
      </c>
      <c r="P39" s="3">
        <f t="shared" si="4"/>
        <v>0.54523805832906325</v>
      </c>
      <c r="Q39">
        <f t="shared" si="5"/>
        <v>-2.2310662757263344E-6</v>
      </c>
      <c r="R39" s="11">
        <v>0.18820889609691832</v>
      </c>
      <c r="S39" s="3">
        <f t="shared" si="6"/>
        <v>0.63334462533736513</v>
      </c>
      <c r="T39">
        <f t="shared" si="7"/>
        <v>-8.3420263479183632E-6</v>
      </c>
      <c r="U39" s="11">
        <v>0.18045893466311019</v>
      </c>
    </row>
    <row r="40" spans="1:21" x14ac:dyDescent="0.35">
      <c r="A40" t="s">
        <v>36</v>
      </c>
      <c r="B40" s="1" t="s">
        <v>37</v>
      </c>
      <c r="C40">
        <f>C38*C5*C6/C3</f>
        <v>2.6807054907588602E-2</v>
      </c>
      <c r="F40" s="2">
        <v>445</v>
      </c>
      <c r="G40">
        <f t="shared" si="0"/>
        <v>2.3347324239244491</v>
      </c>
      <c r="I40" s="5">
        <f t="shared" si="1"/>
        <v>0.18498650000000003</v>
      </c>
      <c r="K40">
        <f t="shared" si="8"/>
        <v>-5.7734554559374374E-6</v>
      </c>
      <c r="L40" s="12">
        <v>0.17924061601341654</v>
      </c>
      <c r="M40" s="3">
        <f t="shared" si="2"/>
        <v>1.527564886081582</v>
      </c>
      <c r="N40">
        <f t="shared" si="3"/>
        <v>-8.5384129988597124E-8</v>
      </c>
      <c r="O40" s="11">
        <v>0.18503014129885575</v>
      </c>
      <c r="P40" s="3">
        <f t="shared" si="4"/>
        <v>0.53885361856839364</v>
      </c>
      <c r="Q40">
        <f t="shared" si="5"/>
        <v>-2.8673462963979546E-6</v>
      </c>
      <c r="R40" s="11">
        <v>0.19079828765410814</v>
      </c>
      <c r="S40" s="3">
        <f t="shared" si="6"/>
        <v>0.62796983515468252</v>
      </c>
      <c r="T40">
        <f t="shared" si="7"/>
        <v>-8.1768650090907613E-6</v>
      </c>
      <c r="U40" s="11">
        <v>0.18304429316458645</v>
      </c>
    </row>
    <row r="41" spans="1:21" x14ac:dyDescent="0.35">
      <c r="A41" t="s">
        <v>34</v>
      </c>
      <c r="B41" s="1" t="s">
        <v>34</v>
      </c>
      <c r="C41">
        <f>C39*(C5^2)*(C6^2)/C3</f>
        <v>2.4965866245355497</v>
      </c>
      <c r="F41" s="2">
        <v>450</v>
      </c>
      <c r="G41">
        <f t="shared" si="0"/>
        <v>2.3609653725078701</v>
      </c>
      <c r="I41" s="5">
        <f t="shared" si="1"/>
        <v>0.18706500000000001</v>
      </c>
      <c r="K41">
        <f t="shared" si="8"/>
        <v>-2.1976791231281823E-7</v>
      </c>
      <c r="L41" s="12">
        <v>0.18179024964293428</v>
      </c>
      <c r="M41" s="3">
        <f t="shared" si="2"/>
        <v>1.5190547090793736</v>
      </c>
      <c r="N41">
        <f t="shared" si="3"/>
        <v>-9.768800168785674E-8</v>
      </c>
      <c r="O41" s="11">
        <v>0.18754168962549819</v>
      </c>
      <c r="P41" s="3">
        <f t="shared" si="4"/>
        <v>0.53254223105129084</v>
      </c>
      <c r="Q41">
        <f t="shared" si="5"/>
        <v>-3.4822520262878243E-6</v>
      </c>
      <c r="R41" s="11">
        <v>0.1933745464410962</v>
      </c>
      <c r="S41" s="3">
        <f t="shared" si="6"/>
        <v>0.62264786792881066</v>
      </c>
      <c r="T41">
        <f t="shared" si="7"/>
        <v>-7.988836927097509E-6</v>
      </c>
      <c r="U41" s="11">
        <v>0.18561765360804944</v>
      </c>
    </row>
    <row r="42" spans="1:21" x14ac:dyDescent="0.35">
      <c r="A42" t="s">
        <v>16</v>
      </c>
      <c r="B42" s="1" t="s">
        <v>16</v>
      </c>
      <c r="C42">
        <f>0.37464+(1.54226*C43)-(0.26992*(C43^2))</f>
        <v>0.39310825151999995</v>
      </c>
      <c r="F42" s="2">
        <v>455</v>
      </c>
      <c r="G42">
        <f t="shared" si="0"/>
        <v>2.3871983210912906</v>
      </c>
      <c r="I42" s="5">
        <f t="shared" si="1"/>
        <v>0.18914350000000002</v>
      </c>
      <c r="K42">
        <f t="shared" si="8"/>
        <v>-1.3004950005779392E-7</v>
      </c>
      <c r="L42" s="12">
        <v>0.18433109155322033</v>
      </c>
      <c r="M42" s="3">
        <f t="shared" si="2"/>
        <v>1.5106851979539422</v>
      </c>
      <c r="N42">
        <f t="shared" si="3"/>
        <v>-2.0508002762653632E-7</v>
      </c>
      <c r="O42" s="11">
        <v>0.19004232038356936</v>
      </c>
      <c r="P42" s="3">
        <f t="shared" si="4"/>
        <v>0.52630268156606264</v>
      </c>
      <c r="Q42">
        <f t="shared" si="5"/>
        <v>-4.0211147904756217E-6</v>
      </c>
      <c r="R42" s="11">
        <v>0.19593812374030489</v>
      </c>
      <c r="S42" s="3">
        <f t="shared" si="6"/>
        <v>0.61737784568189913</v>
      </c>
      <c r="T42">
        <f t="shared" si="7"/>
        <v>-7.7835143201809842E-6</v>
      </c>
      <c r="U42" s="11">
        <v>0.18817941003630925</v>
      </c>
    </row>
    <row r="43" spans="1:21" x14ac:dyDescent="0.35">
      <c r="A43" t="s">
        <v>39</v>
      </c>
      <c r="B43" s="1" t="s">
        <v>40</v>
      </c>
      <c r="C43">
        <v>1.2E-2</v>
      </c>
      <c r="F43" s="2">
        <v>460</v>
      </c>
      <c r="G43">
        <f t="shared" si="0"/>
        <v>2.4134312696747116</v>
      </c>
      <c r="I43" s="5">
        <f t="shared" si="1"/>
        <v>0.19122200000000003</v>
      </c>
      <c r="K43">
        <f t="shared" si="8"/>
        <v>-1.2104416100555682E-6</v>
      </c>
      <c r="L43" s="12">
        <v>0.18686330026747083</v>
      </c>
      <c r="M43" s="3">
        <f t="shared" si="2"/>
        <v>1.5024525197802852</v>
      </c>
      <c r="N43">
        <f t="shared" si="3"/>
        <v>-3.6974296335756662E-7</v>
      </c>
      <c r="O43" s="11">
        <v>0.19253241958311593</v>
      </c>
      <c r="P43" s="3">
        <f t="shared" si="4"/>
        <v>0.52013378916886244</v>
      </c>
      <c r="Q43">
        <f t="shared" si="5"/>
        <v>-4.4293067276157672E-6</v>
      </c>
      <c r="R43" s="11">
        <v>0.19848945173804092</v>
      </c>
      <c r="S43" s="3">
        <f t="shared" si="6"/>
        <v>0.61215891449156667</v>
      </c>
      <c r="T43">
        <f t="shared" si="7"/>
        <v>-7.5654904492239439E-6</v>
      </c>
      <c r="U43" s="11">
        <v>0.19072994069660276</v>
      </c>
    </row>
    <row r="44" spans="1:21" x14ac:dyDescent="0.35">
      <c r="B44" s="1"/>
      <c r="F44" s="2">
        <v>465</v>
      </c>
      <c r="G44">
        <f t="shared" si="0"/>
        <v>2.4396642182581321</v>
      </c>
      <c r="I44" s="5">
        <f t="shared" si="1"/>
        <v>0.19330049999999999</v>
      </c>
      <c r="K44">
        <f t="shared" si="8"/>
        <v>-6.1514825233643933E-7</v>
      </c>
      <c r="L44" s="12">
        <v>0.18938704233192649</v>
      </c>
      <c r="M44" s="3">
        <f t="shared" si="2"/>
        <v>1.4943529862752947</v>
      </c>
      <c r="N44">
        <f t="shared" si="3"/>
        <v>-5.9701761756514315E-7</v>
      </c>
      <c r="O44" s="11">
        <v>0.19501235695690303</v>
      </c>
      <c r="P44" s="3">
        <f t="shared" si="4"/>
        <v>0.51403440492141117</v>
      </c>
      <c r="Q44">
        <f t="shared" si="5"/>
        <v>-4.6553042807317979E-6</v>
      </c>
      <c r="R44" s="11">
        <v>0.20102894432095586</v>
      </c>
      <c r="S44" s="3">
        <f t="shared" si="6"/>
        <v>0.60699024357816656</v>
      </c>
      <c r="T44">
        <f t="shared" si="7"/>
        <v>-7.3385748180498922E-6</v>
      </c>
      <c r="U44" s="11">
        <v>0.19326960862103673</v>
      </c>
    </row>
    <row r="45" spans="1:21" x14ac:dyDescent="0.35">
      <c r="F45" s="2">
        <v>470</v>
      </c>
      <c r="G45">
        <f t="shared" si="0"/>
        <v>2.465897166841553</v>
      </c>
      <c r="I45" s="5">
        <f t="shared" si="1"/>
        <v>0.195379</v>
      </c>
      <c r="K45">
        <f t="shared" si="8"/>
        <v>-2.823417162289843E-7</v>
      </c>
      <c r="L45" s="12">
        <v>0.1919024933631362</v>
      </c>
      <c r="M45" s="3">
        <f t="shared" si="2"/>
        <v>1.4863830468547572</v>
      </c>
      <c r="N45">
        <f t="shared" si="3"/>
        <v>-8.8648539531277493E-7</v>
      </c>
      <c r="O45" s="11">
        <v>0.19748248655883283</v>
      </c>
      <c r="P45" s="3">
        <f t="shared" si="4"/>
        <v>0.50800341068963473</v>
      </c>
      <c r="Q45">
        <f t="shared" si="5"/>
        <v>-4.6530118709142698E-6</v>
      </c>
      <c r="R45" s="11">
        <v>0.20355699786745288</v>
      </c>
      <c r="S45" s="3">
        <f t="shared" si="6"/>
        <v>0.60187102443610008</v>
      </c>
      <c r="T45">
        <f t="shared" si="7"/>
        <v>-7.1058740331864101E-6</v>
      </c>
      <c r="U45" s="11">
        <v>0.19579876221577663</v>
      </c>
    </row>
    <row r="46" spans="1:21" x14ac:dyDescent="0.35">
      <c r="F46" s="2">
        <v>475</v>
      </c>
      <c r="G46">
        <f t="shared" si="0"/>
        <v>2.492130115424974</v>
      </c>
      <c r="I46" s="5">
        <f t="shared" si="1"/>
        <v>0.19745750000000001</v>
      </c>
      <c r="K46">
        <f t="shared" si="8"/>
        <v>-1.1359907148289494E-7</v>
      </c>
      <c r="L46" s="12">
        <v>0.19440983042112309</v>
      </c>
      <c r="M46" s="3">
        <f t="shared" si="2"/>
        <v>1.478539282093398</v>
      </c>
      <c r="N46">
        <f t="shared" si="3"/>
        <v>-6.8553845267160796E-8</v>
      </c>
      <c r="O46" s="11">
        <v>0.19994314631442728</v>
      </c>
      <c r="P46" s="3">
        <f t="shared" si="4"/>
        <v>0.50203971799966907</v>
      </c>
      <c r="Q46">
        <f t="shared" si="5"/>
        <v>-4.383333646273968E-6</v>
      </c>
      <c r="R46" s="11">
        <v>0.20607399202613466</v>
      </c>
      <c r="S46" s="3">
        <f t="shared" si="6"/>
        <v>0.59680047000661185</v>
      </c>
      <c r="T46">
        <f t="shared" si="7"/>
        <v>-6.8700119015829841E-6</v>
      </c>
      <c r="U46" s="11">
        <v>0.19831773585093976</v>
      </c>
    </row>
    <row r="47" spans="1:21" x14ac:dyDescent="0.35">
      <c r="F47" s="2">
        <v>480</v>
      </c>
      <c r="G47">
        <f t="shared" si="0"/>
        <v>2.5183630640083945</v>
      </c>
      <c r="I47" s="5">
        <f t="shared" si="1"/>
        <v>0.19953600000000002</v>
      </c>
      <c r="K47">
        <f t="shared" si="8"/>
        <v>-2.3912812707749254E-7</v>
      </c>
      <c r="L47" s="12">
        <v>0.19690923255817866</v>
      </c>
      <c r="M47" s="3">
        <f t="shared" si="2"/>
        <v>1.4708183975605917</v>
      </c>
      <c r="N47">
        <f t="shared" si="3"/>
        <v>-1.622484205654473E-6</v>
      </c>
      <c r="O47" s="11">
        <v>0.20239466412781001</v>
      </c>
      <c r="P47" s="3">
        <f t="shared" si="4"/>
        <v>0.49614226694791369</v>
      </c>
      <c r="Q47">
        <f t="shared" si="5"/>
        <v>-3.8151300429944968E-6</v>
      </c>
      <c r="R47" s="11">
        <v>0.20858029047562404</v>
      </c>
      <c r="S47" s="3">
        <f t="shared" si="6"/>
        <v>0.59177781388966577</v>
      </c>
      <c r="T47">
        <f t="shared" si="7"/>
        <v>-6.6330865138297668E-6</v>
      </c>
      <c r="U47" s="11">
        <v>0.20082685044453275</v>
      </c>
    </row>
    <row r="48" spans="1:21" x14ac:dyDescent="0.35">
      <c r="F48" s="2">
        <v>485</v>
      </c>
      <c r="G48">
        <f t="shared" si="0"/>
        <v>2.5445960125918154</v>
      </c>
      <c r="I48" s="5">
        <f t="shared" si="1"/>
        <v>0.20161450000000003</v>
      </c>
      <c r="K48">
        <f t="shared" si="8"/>
        <v>-9.8937960046896478E-8</v>
      </c>
      <c r="L48" s="12">
        <v>0.19940087879891547</v>
      </c>
      <c r="M48" s="3">
        <f t="shared" si="2"/>
        <v>1.4632172180065133</v>
      </c>
      <c r="N48">
        <f t="shared" si="3"/>
        <v>-1.1329410654070671E-7</v>
      </c>
      <c r="O48" s="11">
        <v>0.20483734571963341</v>
      </c>
      <c r="P48" s="3">
        <f t="shared" si="4"/>
        <v>0.49031002516204936</v>
      </c>
      <c r="Q48">
        <f t="shared" si="5"/>
        <v>-2.9256168545543915E-6</v>
      </c>
      <c r="R48" s="11">
        <v>0.21107624166165909</v>
      </c>
      <c r="S48" s="3">
        <f t="shared" si="6"/>
        <v>0.58680230959267277</v>
      </c>
      <c r="T48">
        <f t="shared" si="7"/>
        <v>-6.3968047356866009E-6</v>
      </c>
      <c r="U48" s="11">
        <v>0.20332641403611232</v>
      </c>
    </row>
    <row r="49" spans="6:21" x14ac:dyDescent="0.35">
      <c r="F49" s="2">
        <v>490</v>
      </c>
      <c r="G49">
        <f t="shared" si="0"/>
        <v>2.570828961175236</v>
      </c>
      <c r="I49" s="5">
        <f t="shared" si="1"/>
        <v>0.20369300000000001</v>
      </c>
      <c r="K49">
        <f t="shared" si="8"/>
        <v>1.4279493143476429E-6</v>
      </c>
      <c r="L49" s="12">
        <v>0.20188494725314216</v>
      </c>
      <c r="M49" s="3">
        <f t="shared" si="2"/>
        <v>1.4557326818754199</v>
      </c>
      <c r="N49">
        <f t="shared" si="3"/>
        <v>-1.3700798717763973E-7</v>
      </c>
      <c r="O49" s="11">
        <v>0.20727149318768989</v>
      </c>
      <c r="P49" s="3">
        <f t="shared" si="4"/>
        <v>0.48454198681013505</v>
      </c>
      <c r="Q49">
        <f t="shared" si="5"/>
        <v>-1.7002883225814003E-6</v>
      </c>
      <c r="R49" s="11">
        <v>0.2135621795086754</v>
      </c>
      <c r="S49" s="3">
        <f t="shared" si="6"/>
        <v>0.58187322981398437</v>
      </c>
      <c r="T49">
        <f t="shared" si="7"/>
        <v>-6.1625696616829373E-6</v>
      </c>
      <c r="U49" s="11">
        <v>0.20581672234648557</v>
      </c>
    </row>
    <row r="50" spans="6:21" x14ac:dyDescent="0.35">
      <c r="F50" s="2">
        <v>495</v>
      </c>
      <c r="G50">
        <f t="shared" si="0"/>
        <v>2.5970619097586569</v>
      </c>
      <c r="I50" s="5">
        <f t="shared" si="1"/>
        <v>0.2057715</v>
      </c>
      <c r="K50">
        <f t="shared" si="8"/>
        <v>5.0968790787919716E-7</v>
      </c>
      <c r="L50" s="12">
        <v>0.20436161957964979</v>
      </c>
      <c r="M50" s="3">
        <f t="shared" si="2"/>
        <v>1.4483618361245294</v>
      </c>
      <c r="N50">
        <f t="shared" si="3"/>
        <v>-1.6014789139262575E-7</v>
      </c>
      <c r="O50" s="11">
        <v>0.20969739024925277</v>
      </c>
      <c r="P50" s="3">
        <f t="shared" si="4"/>
        <v>0.4788371716550926</v>
      </c>
      <c r="Q50">
        <f t="shared" si="5"/>
        <v>-1.2831534945689782E-6</v>
      </c>
      <c r="R50" s="11">
        <v>0.21603842524992764</v>
      </c>
      <c r="S50" s="3">
        <f t="shared" si="6"/>
        <v>0.57698986575920441</v>
      </c>
      <c r="T50">
        <f t="shared" si="7"/>
        <v>-5.9315309499652358E-6</v>
      </c>
      <c r="U50" s="11">
        <v>0.2082980593209581</v>
      </c>
    </row>
    <row r="51" spans="6:21" x14ac:dyDescent="0.35">
      <c r="F51" s="2">
        <v>500</v>
      </c>
      <c r="G51">
        <f t="shared" si="0"/>
        <v>2.6232948583420779</v>
      </c>
      <c r="I51" s="5">
        <f t="shared" si="1"/>
        <v>0.20785000000000001</v>
      </c>
      <c r="K51">
        <f t="shared" si="8"/>
        <v>1.3046610547462478E-7</v>
      </c>
      <c r="L51" s="12">
        <v>0.20683106920209782</v>
      </c>
      <c r="M51" s="3">
        <f t="shared" si="2"/>
        <v>1.4411018313285839</v>
      </c>
      <c r="N51">
        <f t="shared" si="3"/>
        <v>-3.2863750334399811E-6</v>
      </c>
      <c r="O51" s="11">
        <v>0.21211531320284452</v>
      </c>
      <c r="P51" s="3">
        <f t="shared" si="4"/>
        <v>0.47319462415206515</v>
      </c>
      <c r="Q51">
        <f t="shared" si="5"/>
        <v>-1.6904878918921895E-6</v>
      </c>
      <c r="R51" s="11">
        <v>0.2185052858469963</v>
      </c>
      <c r="S51" s="3">
        <f t="shared" si="6"/>
        <v>0.57215152648850398</v>
      </c>
      <c r="T51">
        <f t="shared" si="7"/>
        <v>-5.7045782568820869E-6</v>
      </c>
      <c r="U51" s="11">
        <v>0.21077069765438178</v>
      </c>
    </row>
    <row r="52" spans="6:21" x14ac:dyDescent="0.35">
      <c r="F52" s="2">
        <v>505</v>
      </c>
      <c r="G52">
        <f t="shared" si="0"/>
        <v>2.6495278069254984</v>
      </c>
      <c r="I52" s="5">
        <f t="shared" si="1"/>
        <v>0.20992850000000002</v>
      </c>
      <c r="K52">
        <f t="shared" si="8"/>
        <v>1.7151648989965906E-8</v>
      </c>
      <c r="L52" s="12">
        <v>0.20929347028603307</v>
      </c>
      <c r="M52" s="3">
        <f t="shared" si="2"/>
        <v>1.4339499170516641</v>
      </c>
      <c r="N52">
        <f t="shared" si="3"/>
        <v>-1.9999987443952705E-7</v>
      </c>
      <c r="O52" s="11">
        <v>0.21452551454820437</v>
      </c>
      <c r="P52" s="3">
        <f t="shared" si="4"/>
        <v>0.46761341258629519</v>
      </c>
      <c r="Q52">
        <f t="shared" si="5"/>
        <v>-3.6333732964521914E-6</v>
      </c>
      <c r="R52" s="11">
        <v>0.22096305640964509</v>
      </c>
      <c r="S52" s="3">
        <f t="shared" si="6"/>
        <v>0.56735753829323265</v>
      </c>
      <c r="T52">
        <f t="shared" si="7"/>
        <v>-5.4824450330670516E-6</v>
      </c>
      <c r="U52" s="11">
        <v>0.21323489929704906</v>
      </c>
    </row>
    <row r="53" spans="6:21" x14ac:dyDescent="0.35">
      <c r="F53" s="2">
        <v>510</v>
      </c>
      <c r="G53">
        <f t="shared" si="0"/>
        <v>2.6757607555089193</v>
      </c>
      <c r="I53" s="5">
        <f t="shared" si="1"/>
        <v>0.212007</v>
      </c>
      <c r="K53">
        <f t="shared" si="8"/>
        <v>-9.9527483143901918E-8</v>
      </c>
      <c r="L53" s="12">
        <v>0.21174899426985755</v>
      </c>
      <c r="M53" s="3">
        <f t="shared" si="2"/>
        <v>1.4269034374691831</v>
      </c>
      <c r="N53">
        <f t="shared" si="3"/>
        <v>-3.8909340389636782E-6</v>
      </c>
      <c r="O53" s="11">
        <v>0.21692825822601286</v>
      </c>
      <c r="P53" s="3">
        <f t="shared" si="4"/>
        <v>0.46209262824932207</v>
      </c>
      <c r="Q53">
        <f t="shared" si="5"/>
        <v>-5.6697756463108817E-6</v>
      </c>
      <c r="R53" s="11">
        <v>0.22341201790198917</v>
      </c>
      <c r="S53" s="3">
        <f t="shared" si="6"/>
        <v>0.56260724410024099</v>
      </c>
      <c r="T53">
        <f t="shared" si="7"/>
        <v>-5.2656367586223496E-6</v>
      </c>
      <c r="U53" s="11">
        <v>0.21569091594050885</v>
      </c>
    </row>
    <row r="54" spans="6:21" x14ac:dyDescent="0.35">
      <c r="F54" s="2">
        <v>515</v>
      </c>
      <c r="G54">
        <f t="shared" si="0"/>
        <v>2.7019937040923399</v>
      </c>
      <c r="I54" s="5">
        <f t="shared" si="1"/>
        <v>0.21408550000000001</v>
      </c>
      <c r="K54">
        <f t="shared" si="8"/>
        <v>-4.9127550028060796E-8</v>
      </c>
      <c r="L54" s="12">
        <v>0.2141978090964162</v>
      </c>
      <c r="M54" s="3">
        <f t="shared" si="2"/>
        <v>1.4199598272242344</v>
      </c>
      <c r="N54">
        <f t="shared" si="3"/>
        <v>-2.2368885765899904E-7</v>
      </c>
      <c r="O54" s="11">
        <v>0.21932377042822795</v>
      </c>
      <c r="P54" s="3">
        <f t="shared" si="4"/>
        <v>0.45663138465143721</v>
      </c>
      <c r="Q54">
        <f t="shared" si="5"/>
        <v>-7.7729056329189916E-6</v>
      </c>
      <c r="R54" s="11">
        <v>0.22585244130700954</v>
      </c>
      <c r="S54" s="3">
        <f t="shared" si="6"/>
        <v>0.55790000290241804</v>
      </c>
      <c r="T54">
        <f t="shared" si="7"/>
        <v>-5.0546157694952853E-6</v>
      </c>
      <c r="U54" s="11">
        <v>0.21813898948346069</v>
      </c>
    </row>
    <row r="55" spans="6:21" x14ac:dyDescent="0.35">
      <c r="F55" s="2">
        <v>520</v>
      </c>
      <c r="G55">
        <f t="shared" si="0"/>
        <v>2.7282266526757608</v>
      </c>
      <c r="I55" s="5">
        <f t="shared" si="1"/>
        <v>0.21616400000000002</v>
      </c>
      <c r="K55">
        <f t="shared" si="8"/>
        <v>-1.0179206810789765E-8</v>
      </c>
      <c r="L55" s="12">
        <v>0.2166400797354078</v>
      </c>
      <c r="M55" s="3">
        <f t="shared" si="2"/>
        <v>1.4131166075036052</v>
      </c>
      <c r="N55">
        <f t="shared" si="3"/>
        <v>-4.127021668409725E-6</v>
      </c>
      <c r="O55" s="11">
        <v>0.22171229711971568</v>
      </c>
      <c r="P55" s="3">
        <f t="shared" si="4"/>
        <v>0.45122881676846566</v>
      </c>
      <c r="Q55">
        <f t="shared" si="5"/>
        <v>-9.9180535357845656E-6</v>
      </c>
      <c r="R55" s="11">
        <v>0.2282845867632956</v>
      </c>
      <c r="S55" s="3">
        <f t="shared" si="6"/>
        <v>0.55323518921405102</v>
      </c>
      <c r="T55">
        <f t="shared" si="7"/>
        <v>-4.8496511908524553E-6</v>
      </c>
      <c r="U55" s="11">
        <v>0.22057935247714097</v>
      </c>
    </row>
    <row r="56" spans="6:21" x14ac:dyDescent="0.35">
      <c r="F56" s="2">
        <v>525</v>
      </c>
      <c r="G56">
        <f t="shared" si="0"/>
        <v>2.7544596012591818</v>
      </c>
      <c r="I56" s="5">
        <f t="shared" si="1"/>
        <v>0.21824250000000003</v>
      </c>
      <c r="K56">
        <f t="shared" si="8"/>
        <v>-7.3402532052568858E-8</v>
      </c>
      <c r="L56" s="12">
        <v>0.21907596756122319</v>
      </c>
      <c r="M56" s="3">
        <f t="shared" si="2"/>
        <v>1.4063713823198298</v>
      </c>
      <c r="N56">
        <f t="shared" si="3"/>
        <v>-2.2319042614071805E-7</v>
      </c>
      <c r="O56" s="11">
        <v>0.22409404359651527</v>
      </c>
      <c r="P56" s="3">
        <f t="shared" si="4"/>
        <v>0.44588408032106297</v>
      </c>
      <c r="Q56">
        <f t="shared" si="5"/>
        <v>-1.2082932329349205E-5</v>
      </c>
      <c r="R56" s="11">
        <v>0.23070870408255242</v>
      </c>
      <c r="S56" s="3">
        <f t="shared" si="6"/>
        <v>0.54861219254969606</v>
      </c>
      <c r="T56">
        <f t="shared" si="7"/>
        <v>-4.6509746312040079E-6</v>
      </c>
      <c r="U56" s="11">
        <v>0.22301222855107503</v>
      </c>
    </row>
    <row r="57" spans="6:21" x14ac:dyDescent="0.35">
      <c r="F57" s="2">
        <v>530</v>
      </c>
      <c r="G57">
        <f t="shared" si="0"/>
        <v>2.7806925498426023</v>
      </c>
      <c r="I57" s="5">
        <f t="shared" si="1"/>
        <v>0.22032099999999999</v>
      </c>
      <c r="K57">
        <f t="shared" si="8"/>
        <v>-2.543707751101465E-7</v>
      </c>
      <c r="L57" s="12">
        <v>0.22150563022062542</v>
      </c>
      <c r="M57" s="3">
        <f t="shared" si="2"/>
        <v>1.3997218349866165</v>
      </c>
      <c r="N57">
        <f t="shared" si="3"/>
        <v>-2.1184962406550767E-7</v>
      </c>
      <c r="O57" s="11">
        <v>0.2264692343231601</v>
      </c>
      <c r="P57" s="3">
        <f t="shared" si="4"/>
        <v>0.44059635108482764</v>
      </c>
      <c r="Q57">
        <f t="shared" si="5"/>
        <v>-1.6831294544772391E-6</v>
      </c>
      <c r="R57" s="11">
        <v>0.23312501974052585</v>
      </c>
      <c r="S57" s="3">
        <f t="shared" si="6"/>
        <v>0.54403041692533083</v>
      </c>
      <c r="T57">
        <f t="shared" si="7"/>
        <v>-4.4586932403944957E-6</v>
      </c>
      <c r="U57" s="11">
        <v>0.22543783281902402</v>
      </c>
    </row>
    <row r="58" spans="6:21" x14ac:dyDescent="0.35">
      <c r="F58" s="2">
        <v>535</v>
      </c>
      <c r="G58">
        <f t="shared" si="0"/>
        <v>2.8069254984260232</v>
      </c>
      <c r="I58" s="5">
        <f t="shared" si="1"/>
        <v>0.2223995</v>
      </c>
      <c r="K58">
        <f t="shared" si="8"/>
        <v>-6.2016445667723019E-7</v>
      </c>
      <c r="L58" s="12">
        <v>0.22392922166514567</v>
      </c>
      <c r="M58" s="3">
        <f t="shared" si="2"/>
        <v>1.3931657247758709</v>
      </c>
      <c r="N58">
        <f t="shared" si="3"/>
        <v>-1.9229335634918243E-7</v>
      </c>
      <c r="O58" s="11">
        <v>0.22883806896006906</v>
      </c>
      <c r="P58" s="3">
        <f t="shared" si="4"/>
        <v>0.43536482422963374</v>
      </c>
      <c r="Q58">
        <f t="shared" si="5"/>
        <v>-1.9639048502995138E-6</v>
      </c>
      <c r="R58" s="11">
        <v>0.23553378917866793</v>
      </c>
      <c r="S58" s="3">
        <f t="shared" si="6"/>
        <v>0.53948928038063582</v>
      </c>
      <c r="T58">
        <f t="shared" si="7"/>
        <v>-4.2729333529223368E-6</v>
      </c>
      <c r="U58" s="11">
        <v>0.2278563722661244</v>
      </c>
    </row>
    <row r="59" spans="6:21" x14ac:dyDescent="0.35">
      <c r="F59" s="2">
        <v>540</v>
      </c>
      <c r="G59">
        <f t="shared" si="0"/>
        <v>2.8331584470094437</v>
      </c>
      <c r="I59" s="5">
        <f t="shared" si="1"/>
        <v>0.22447800000000001</v>
      </c>
      <c r="K59">
        <f t="shared" si="8"/>
        <v>-1.2291466475744528E-6</v>
      </c>
      <c r="L59" s="12">
        <v>0.22634689202978367</v>
      </c>
      <c r="M59" s="3">
        <f t="shared" si="2"/>
        <v>1.3867008837453678</v>
      </c>
      <c r="N59">
        <f t="shared" si="3"/>
        <v>-1.6407099678872328E-7</v>
      </c>
      <c r="O59" s="11">
        <v>0.23120074309051999</v>
      </c>
      <c r="P59" s="3">
        <f t="shared" si="4"/>
        <v>0.43018871368668654</v>
      </c>
      <c r="Q59">
        <f t="shared" si="5"/>
        <v>-2.2460380080246978E-6</v>
      </c>
      <c r="R59" s="11">
        <v>0.2379352227387419</v>
      </c>
      <c r="S59" s="3">
        <f t="shared" si="6"/>
        <v>0.53498821452132328</v>
      </c>
      <c r="T59">
        <f t="shared" si="7"/>
        <v>-4.0936594984941621E-6</v>
      </c>
      <c r="U59" s="11">
        <v>0.23026804611722759</v>
      </c>
    </row>
    <row r="60" spans="6:21" x14ac:dyDescent="0.35">
      <c r="F60" s="2">
        <v>545</v>
      </c>
      <c r="G60">
        <f t="shared" si="0"/>
        <v>2.8593913955928647</v>
      </c>
      <c r="I60" s="5">
        <f t="shared" si="1"/>
        <v>0.22655650000000002</v>
      </c>
      <c r="K60">
        <f t="shared" si="8"/>
        <v>-3.9748857716404018E-7</v>
      </c>
      <c r="L60" s="12">
        <v>0.22875878573728411</v>
      </c>
      <c r="M60" s="3">
        <f t="shared" si="2"/>
        <v>1.3803252137268558</v>
      </c>
      <c r="N60">
        <f t="shared" si="3"/>
        <v>-1.2686095374192519E-7</v>
      </c>
      <c r="O60" s="11">
        <v>0.23355744453918797</v>
      </c>
      <c r="P60" s="3">
        <f t="shared" si="4"/>
        <v>0.4250672515418909</v>
      </c>
      <c r="Q60">
        <f t="shared" si="5"/>
        <v>-2.5272965444855799E-6</v>
      </c>
      <c r="R60" s="11">
        <v>0.24032953360623582</v>
      </c>
      <c r="S60" s="3">
        <f t="shared" si="6"/>
        <v>0.5305266640804891</v>
      </c>
      <c r="T60">
        <f t="shared" si="7"/>
        <v>-3.9208852911087888E-6</v>
      </c>
      <c r="U60" s="11">
        <v>0.23267304618785412</v>
      </c>
    </row>
    <row r="61" spans="6:21" x14ac:dyDescent="0.35">
      <c r="F61" s="2">
        <v>550</v>
      </c>
      <c r="G61">
        <f t="shared" si="0"/>
        <v>2.8856243441762857</v>
      </c>
      <c r="I61" s="5">
        <f t="shared" si="1"/>
        <v>0.22863500000000003</v>
      </c>
      <c r="K61">
        <f t="shared" si="8"/>
        <v>-8.3017542351626616E-7</v>
      </c>
      <c r="L61" s="12">
        <v>0.23116504806148505</v>
      </c>
      <c r="M61" s="3">
        <f t="shared" si="2"/>
        <v>1.3740366834651165</v>
      </c>
      <c r="N61">
        <f t="shared" si="3"/>
        <v>-8.0465099472348811E-8</v>
      </c>
      <c r="O61" s="11">
        <v>0.23590835373629068</v>
      </c>
      <c r="P61" s="3">
        <f t="shared" si="4"/>
        <v>0.41999968745420863</v>
      </c>
      <c r="Q61">
        <f t="shared" si="5"/>
        <v>-2.8057175995854777E-6</v>
      </c>
      <c r="R61" s="11">
        <v>0.24271692685528706</v>
      </c>
      <c r="S61" s="3">
        <f t="shared" si="6"/>
        <v>0.52610408649803819</v>
      </c>
      <c r="T61">
        <f t="shared" si="7"/>
        <v>-3.7545107431924407E-6</v>
      </c>
      <c r="U61" s="11">
        <v>0.23507155721763368</v>
      </c>
    </row>
    <row r="62" spans="6:21" x14ac:dyDescent="0.35">
      <c r="F62" s="2">
        <v>555</v>
      </c>
      <c r="G62">
        <f t="shared" si="0"/>
        <v>2.9118572927597062</v>
      </c>
      <c r="I62" s="5">
        <f t="shared" si="1"/>
        <v>0.23071350000000002</v>
      </c>
      <c r="K62">
        <f t="shared" si="8"/>
        <v>-1.4903265537213883E-6</v>
      </c>
      <c r="L62" s="12">
        <v>0.23356581645894975</v>
      </c>
      <c r="M62" s="3">
        <f t="shared" si="2"/>
        <v>1.3678333258990947</v>
      </c>
      <c r="N62">
        <f t="shared" si="3"/>
        <v>-2.4658933739374334E-7</v>
      </c>
      <c r="O62" s="11">
        <v>0.23825364431183607</v>
      </c>
      <c r="P62" s="3">
        <f t="shared" si="4"/>
        <v>0.41498528809775642</v>
      </c>
      <c r="Q62">
        <f t="shared" si="5"/>
        <v>-3.0795672785188799E-6</v>
      </c>
      <c r="R62" s="11">
        <v>0.24509759982562895</v>
      </c>
      <c r="S62" s="3">
        <f t="shared" si="6"/>
        <v>0.52171995151727191</v>
      </c>
      <c r="T62">
        <f t="shared" si="7"/>
        <v>-3.5944519538588793E-6</v>
      </c>
      <c r="U62" s="11">
        <v>0.23746375718765902</v>
      </c>
    </row>
    <row r="63" spans="6:21" x14ac:dyDescent="0.35">
      <c r="F63" s="2">
        <v>560</v>
      </c>
      <c r="G63">
        <f t="shared" si="0"/>
        <v>2.9380902413431271</v>
      </c>
      <c r="I63" s="5">
        <f t="shared" si="1"/>
        <v>0.23279200000000003</v>
      </c>
      <c r="K63">
        <f t="shared" si="8"/>
        <v>-2.4075079068097693E-6</v>
      </c>
      <c r="L63" s="12">
        <v>0.23596122572700487</v>
      </c>
      <c r="M63" s="3">
        <f t="shared" si="2"/>
        <v>1.3617132355768509</v>
      </c>
      <c r="N63">
        <f t="shared" si="3"/>
        <v>-3.8121356737974565E-7</v>
      </c>
      <c r="O63" s="11">
        <v>0.24059348265826747</v>
      </c>
      <c r="P63" s="3">
        <f t="shared" si="4"/>
        <v>0.41002333662647372</v>
      </c>
      <c r="Q63">
        <f t="shared" si="5"/>
        <v>-3.3473531004801771E-6</v>
      </c>
      <c r="R63" s="11">
        <v>0.24747174247991655</v>
      </c>
      <c r="S63" s="3">
        <f t="shared" si="6"/>
        <v>0.51737374079779952</v>
      </c>
      <c r="T63">
        <f t="shared" si="7"/>
        <v>-3.4406123745611694E-6</v>
      </c>
      <c r="U63" s="11">
        <v>0.23984981762198559</v>
      </c>
    </row>
    <row r="64" spans="6:21" x14ac:dyDescent="0.35">
      <c r="F64" s="2">
        <v>565</v>
      </c>
      <c r="G64">
        <f t="shared" si="0"/>
        <v>2.9643231899265476</v>
      </c>
      <c r="I64" s="5">
        <f t="shared" si="1"/>
        <v>0.23487050000000001</v>
      </c>
      <c r="K64">
        <f t="shared" si="8"/>
        <v>-1.1194754279131303E-7</v>
      </c>
      <c r="L64" s="12">
        <v>0.23835140299016033</v>
      </c>
      <c r="M64" s="3">
        <f t="shared" si="2"/>
        <v>1.3556745661966176</v>
      </c>
      <c r="N64">
        <f t="shared" si="3"/>
        <v>-1.0687628559935547E-7</v>
      </c>
      <c r="O64" s="11">
        <v>0.24292802859583912</v>
      </c>
      <c r="P64" s="3">
        <f t="shared" si="4"/>
        <v>0.40511313216025208</v>
      </c>
      <c r="Q64">
        <f t="shared" si="5"/>
        <v>-3.6078282050766575E-6</v>
      </c>
      <c r="R64" s="11">
        <v>0.24983953774237719</v>
      </c>
      <c r="S64" s="3">
        <f t="shared" si="6"/>
        <v>0.51306494754396548</v>
      </c>
      <c r="T64">
        <f t="shared" si="7"/>
        <v>-3.2928365101270174E-6</v>
      </c>
      <c r="U64" s="11">
        <v>0.24222990387414339</v>
      </c>
    </row>
    <row r="65" spans="6:21" x14ac:dyDescent="0.35">
      <c r="F65" s="2">
        <v>570</v>
      </c>
      <c r="G65">
        <f t="shared" si="0"/>
        <v>2.9905561385099686</v>
      </c>
      <c r="I65" s="5">
        <f t="shared" si="1"/>
        <v>0.23694899999999999</v>
      </c>
      <c r="K65">
        <f t="shared" si="8"/>
        <v>-1.7362242488161428E-7</v>
      </c>
      <c r="L65" s="12">
        <v>0.2407364817658626</v>
      </c>
      <c r="M65" s="3">
        <f t="shared" si="2"/>
        <v>1.349715528266747</v>
      </c>
      <c r="N65">
        <f t="shared" si="3"/>
        <v>-3.2613455971386429E-6</v>
      </c>
      <c r="O65" s="11">
        <v>0.24525744067625668</v>
      </c>
      <c r="P65" s="3">
        <f t="shared" si="4"/>
        <v>0.40025398929148348</v>
      </c>
      <c r="Q65">
        <f t="shared" si="5"/>
        <v>-3.8599409037942678E-6</v>
      </c>
      <c r="R65" s="11">
        <v>0.25220116181971325</v>
      </c>
      <c r="S65" s="3">
        <f t="shared" si="6"/>
        <v>0.50879307614804059</v>
      </c>
      <c r="T65">
        <f t="shared" si="7"/>
        <v>-3.1509804330198676E-6</v>
      </c>
      <c r="U65" s="11">
        <v>0.24460417539952314</v>
      </c>
    </row>
    <row r="66" spans="6:21" x14ac:dyDescent="0.35">
      <c r="F66" s="2">
        <v>575</v>
      </c>
      <c r="G66">
        <f t="shared" si="0"/>
        <v>3.0167890870933896</v>
      </c>
      <c r="I66" s="5">
        <f t="shared" si="1"/>
        <v>0.2390275</v>
      </c>
      <c r="K66">
        <f t="shared" si="8"/>
        <v>-2.5386773927493778E-7</v>
      </c>
      <c r="L66" s="12">
        <v>0.24311658314951085</v>
      </c>
      <c r="M66" s="3">
        <f t="shared" si="2"/>
        <v>1.343834386877826</v>
      </c>
      <c r="N66">
        <f t="shared" si="3"/>
        <v>-2.5094414013437927E-7</v>
      </c>
      <c r="O66" s="11">
        <v>0.24758185614904157</v>
      </c>
      <c r="P66" s="3">
        <f t="shared" si="4"/>
        <v>0.39544523761104672</v>
      </c>
      <c r="Q66">
        <f t="shared" si="5"/>
        <v>-4.1028598332104593E-6</v>
      </c>
      <c r="R66" s="11">
        <v>0.25455678450534847</v>
      </c>
      <c r="S66" s="3">
        <f t="shared" si="6"/>
        <v>0.50455764184747298</v>
      </c>
      <c r="T66">
        <f t="shared" si="7"/>
        <v>-3.0148994198953005E-6</v>
      </c>
      <c r="U66" s="11">
        <v>0.24697278601410572</v>
      </c>
    </row>
    <row r="67" spans="6:21" x14ac:dyDescent="0.35">
      <c r="F67" s="2">
        <v>580</v>
      </c>
      <c r="G67">
        <f t="shared" si="0"/>
        <v>3.0430220356768101</v>
      </c>
      <c r="I67" s="5">
        <f t="shared" si="1"/>
        <v>0.24110600000000001</v>
      </c>
      <c r="K67">
        <f t="shared" si="8"/>
        <v>-3.5388171681915992E-7</v>
      </c>
      <c r="L67" s="12">
        <v>0.24549182728319038</v>
      </c>
      <c r="M67" s="3">
        <f t="shared" si="2"/>
        <v>1.3380294595806506</v>
      </c>
      <c r="N67">
        <f t="shared" si="3"/>
        <v>-3.2609619893264608E-7</v>
      </c>
      <c r="O67" s="11">
        <v>0.2499014284222815</v>
      </c>
      <c r="P67" s="3">
        <f t="shared" si="4"/>
        <v>0.39068622125280206</v>
      </c>
      <c r="Q67">
        <f t="shared" si="5"/>
        <v>-4.3358998595977027E-6</v>
      </c>
      <c r="R67" s="11">
        <v>0.25690656946772483</v>
      </c>
      <c r="S67" s="3">
        <f t="shared" si="6"/>
        <v>0.50035817039551711</v>
      </c>
      <c r="T67">
        <f t="shared" si="7"/>
        <v>-2.8844053758803057E-6</v>
      </c>
      <c r="U67" s="11">
        <v>0.24933588414026536</v>
      </c>
    </row>
    <row r="68" spans="6:21" x14ac:dyDescent="0.35">
      <c r="F68" s="2">
        <v>585</v>
      </c>
      <c r="G68">
        <f t="shared" si="0"/>
        <v>3.069254984260231</v>
      </c>
      <c r="I68" s="5">
        <f t="shared" si="1"/>
        <v>0.24318450000000003</v>
      </c>
      <c r="K68">
        <f t="shared" si="8"/>
        <v>-4.7417654513992602E-7</v>
      </c>
      <c r="L68" s="12">
        <v>0.24786233083579468</v>
      </c>
      <c r="M68" s="3">
        <f t="shared" si="2"/>
        <v>1.3322991143641707</v>
      </c>
      <c r="N68">
        <f t="shared" si="3"/>
        <v>-7.4061918553525175E-6</v>
      </c>
      <c r="O68" s="11">
        <v>0.25221629967213638</v>
      </c>
      <c r="P68" s="3">
        <f t="shared" si="4"/>
        <v>0.38597629845571929</v>
      </c>
      <c r="Q68">
        <f t="shared" si="5"/>
        <v>-4.5585614714127587E-6</v>
      </c>
      <c r="R68" s="11">
        <v>0.25925067452376122</v>
      </c>
      <c r="S68" s="3">
        <f t="shared" si="6"/>
        <v>0.49619419774461543</v>
      </c>
      <c r="T68">
        <f t="shared" si="7"/>
        <v>-2.7593385709678842E-6</v>
      </c>
      <c r="U68" s="11">
        <v>0.25169361304046717</v>
      </c>
    </row>
    <row r="69" spans="6:21" x14ac:dyDescent="0.35">
      <c r="F69" s="2">
        <v>590</v>
      </c>
      <c r="G69">
        <f t="shared" si="0"/>
        <v>3.0954879328436515</v>
      </c>
      <c r="I69" s="5">
        <f t="shared" si="1"/>
        <v>0.24526300000000004</v>
      </c>
      <c r="K69">
        <f t="shared" si="8"/>
        <v>-6.1457802758013713E-7</v>
      </c>
      <c r="L69" s="12">
        <v>0.2502282070857535</v>
      </c>
      <c r="M69" s="3">
        <f t="shared" si="2"/>
        <v>1.3266417677278852</v>
      </c>
      <c r="N69">
        <f t="shared" si="3"/>
        <v>-8.8375469999846246E-6</v>
      </c>
      <c r="O69" s="11">
        <v>0.25452658733041489</v>
      </c>
      <c r="P69" s="3">
        <f t="shared" si="4"/>
        <v>0.38131484114281294</v>
      </c>
      <c r="Q69">
        <f t="shared" si="5"/>
        <v>-4.7704929215797165E-6</v>
      </c>
      <c r="R69" s="11">
        <v>0.26158925189807775</v>
      </c>
      <c r="S69" s="3">
        <f t="shared" si="6"/>
        <v>0.49206526974193371</v>
      </c>
      <c r="T69">
        <f t="shared" si="7"/>
        <v>-2.6395131271783612E-6</v>
      </c>
      <c r="U69" s="11">
        <v>0.25404611103920782</v>
      </c>
    </row>
    <row r="70" spans="6:21" x14ac:dyDescent="0.35">
      <c r="F70" s="2">
        <v>595</v>
      </c>
      <c r="G70">
        <f t="shared" si="0"/>
        <v>3.1217208814270725</v>
      </c>
      <c r="I70" s="5">
        <f t="shared" si="1"/>
        <v>0.24734150000000002</v>
      </c>
      <c r="K70">
        <f t="shared" si="8"/>
        <v>-7.7425724498425552E-7</v>
      </c>
      <c r="L70" s="12">
        <v>0.25258956600659782</v>
      </c>
      <c r="M70" s="3">
        <f t="shared" si="2"/>
        <v>1.3210558828435157</v>
      </c>
      <c r="N70">
        <f t="shared" si="3"/>
        <v>-1.0280119369099339E-5</v>
      </c>
      <c r="O70" s="11">
        <v>0.25683242555249763</v>
      </c>
      <c r="P70" s="3">
        <f t="shared" si="4"/>
        <v>0.37670123451610027</v>
      </c>
      <c r="Q70">
        <f t="shared" si="5"/>
        <v>-4.9714476517692674E-6</v>
      </c>
      <c r="R70" s="11">
        <v>0.26392244846885221</v>
      </c>
      <c r="S70" s="3">
        <f t="shared" si="6"/>
        <v>0.48797094183648043</v>
      </c>
      <c r="T70">
        <f t="shared" si="7"/>
        <v>-2.5247616406431916E-6</v>
      </c>
      <c r="U70" s="11">
        <v>0.2563935117340635</v>
      </c>
    </row>
    <row r="71" spans="6:21" x14ac:dyDescent="0.35">
      <c r="F71" s="2">
        <v>600</v>
      </c>
      <c r="G71">
        <f t="shared" si="0"/>
        <v>3.1479538300104934</v>
      </c>
      <c r="I71" s="5">
        <f t="shared" si="1"/>
        <v>0.24942</v>
      </c>
      <c r="K71">
        <f t="shared" si="8"/>
        <v>-9.5178540959750535E-7</v>
      </c>
      <c r="L71" s="12">
        <v>0.25494651435439891</v>
      </c>
      <c r="M71" s="3">
        <f t="shared" si="2"/>
        <v>1.3155399678011175</v>
      </c>
      <c r="N71">
        <f t="shared" si="3"/>
        <v>-1.1726749164608918E-5</v>
      </c>
      <c r="O71" s="11">
        <v>0.25913393720134731</v>
      </c>
      <c r="P71" s="3">
        <f t="shared" si="4"/>
        <v>0.37213487666684636</v>
      </c>
      <c r="Q71">
        <f t="shared" si="5"/>
        <v>-5.1613078539958224E-6</v>
      </c>
      <c r="R71" s="11">
        <v>0.26625040600113947</v>
      </c>
      <c r="S71" s="3">
        <f t="shared" si="6"/>
        <v>0.48391077879728195</v>
      </c>
      <c r="T71">
        <f t="shared" si="7"/>
        <v>-2.4149139505880157E-6</v>
      </c>
      <c r="U71" s="11">
        <v>0.25873594419622875</v>
      </c>
    </row>
    <row r="72" spans="6:21" x14ac:dyDescent="0.35">
      <c r="F72" s="2">
        <v>605</v>
      </c>
      <c r="G72">
        <f t="shared" si="0"/>
        <v>3.174186778593914</v>
      </c>
      <c r="I72" s="5">
        <f t="shared" si="1"/>
        <v>0.25149850000000001</v>
      </c>
      <c r="K72">
        <f t="shared" si="8"/>
        <v>-6.32940952982608E-8</v>
      </c>
      <c r="L72" s="12">
        <v>0.2572991544457281</v>
      </c>
      <c r="M72" s="3">
        <f t="shared" si="2"/>
        <v>1.3100925739350764</v>
      </c>
      <c r="N72">
        <f t="shared" si="3"/>
        <v>-8.299971909764281E-8</v>
      </c>
      <c r="O72" s="11">
        <v>0.26143122461633522</v>
      </c>
      <c r="P72" s="3">
        <f t="shared" si="4"/>
        <v>0.36761517820039352</v>
      </c>
      <c r="Q72">
        <f t="shared" si="5"/>
        <v>-5.3400344199872052E-6</v>
      </c>
      <c r="R72" s="11">
        <v>0.26857326136818982</v>
      </c>
      <c r="S72" s="3">
        <f t="shared" si="6"/>
        <v>0.47988435444210159</v>
      </c>
      <c r="T72">
        <f t="shared" si="7"/>
        <v>-2.3097644827885233E-6</v>
      </c>
      <c r="U72" s="11">
        <v>0.26107353316115695</v>
      </c>
    </row>
    <row r="73" spans="6:21" x14ac:dyDescent="0.35">
      <c r="F73" s="2">
        <v>610</v>
      </c>
      <c r="G73">
        <f t="shared" si="0"/>
        <v>3.2004197271773349</v>
      </c>
      <c r="I73" s="5">
        <f t="shared" si="1"/>
        <v>0.253577</v>
      </c>
      <c r="K73">
        <f t="shared" si="8"/>
        <v>-7.4649449288699543E-8</v>
      </c>
      <c r="L73" s="12">
        <v>0.25964758923769077</v>
      </c>
      <c r="M73" s="3">
        <f t="shared" si="2"/>
        <v>1.3047122942257305</v>
      </c>
      <c r="N73">
        <f t="shared" si="3"/>
        <v>-9.295837344325264E-8</v>
      </c>
      <c r="O73" s="11">
        <v>0.26372443228439302</v>
      </c>
      <c r="P73" s="3">
        <f t="shared" si="4"/>
        <v>0.3631415618749167</v>
      </c>
      <c r="Q73">
        <f t="shared" si="5"/>
        <v>-5.5076816920518468E-6</v>
      </c>
      <c r="R73" s="11">
        <v>0.27089114676159975</v>
      </c>
      <c r="S73" s="3">
        <f t="shared" si="6"/>
        <v>0.47589125137623012</v>
      </c>
      <c r="T73">
        <f t="shared" si="7"/>
        <v>-2.2091466860274522E-6</v>
      </c>
      <c r="U73" s="11">
        <v>0.26340639920997233</v>
      </c>
    </row>
    <row r="74" spans="6:21" x14ac:dyDescent="0.35">
      <c r="F74" s="2">
        <v>615</v>
      </c>
      <c r="G74">
        <f t="shared" si="0"/>
        <v>3.2266526757607554</v>
      </c>
      <c r="I74" s="5">
        <f t="shared" si="1"/>
        <v>0.25565550000000004</v>
      </c>
      <c r="K74">
        <f t="shared" si="8"/>
        <v>-8.6608957872158499E-7</v>
      </c>
      <c r="L74" s="12">
        <v>0.26199191625132462</v>
      </c>
      <c r="M74" s="3">
        <f t="shared" si="2"/>
        <v>1.299397761772612</v>
      </c>
      <c r="N74">
        <f t="shared" si="3"/>
        <v>-1.0296534469489416E-7</v>
      </c>
      <c r="O74" s="11">
        <v>0.26601365616329303</v>
      </c>
      <c r="P74" s="3">
        <f t="shared" si="4"/>
        <v>0.35871346225347711</v>
      </c>
      <c r="Q74">
        <f t="shared" si="5"/>
        <v>-5.6643777384124405E-6</v>
      </c>
      <c r="R74" s="11">
        <v>0.27320418989080469</v>
      </c>
      <c r="S74" s="3">
        <f t="shared" si="6"/>
        <v>0.47193106074088953</v>
      </c>
      <c r="T74">
        <f t="shared" si="7"/>
        <v>-2.1128788034729951E-6</v>
      </c>
      <c r="U74" s="11">
        <v>0.2657346589418641</v>
      </c>
    </row>
    <row r="75" spans="6:21" x14ac:dyDescent="0.35">
      <c r="F75" s="2">
        <v>620</v>
      </c>
      <c r="G75">
        <f t="shared" si="0"/>
        <v>3.2528856243441764</v>
      </c>
      <c r="I75" s="5">
        <f t="shared" si="1"/>
        <v>0.25773400000000002</v>
      </c>
      <c r="K75">
        <f t="shared" si="8"/>
        <v>-1.0361958402427263E-6</v>
      </c>
      <c r="L75" s="12">
        <v>0.26433222854441957</v>
      </c>
      <c r="M75" s="3">
        <f t="shared" si="2"/>
        <v>1.2941476483355436</v>
      </c>
      <c r="N75">
        <f t="shared" si="3"/>
        <v>-1.1297908031338011E-7</v>
      </c>
      <c r="O75" s="11">
        <v>0.26829900254408295</v>
      </c>
      <c r="P75" s="3">
        <f t="shared" si="4"/>
        <v>0.35433032536877773</v>
      </c>
      <c r="Q75">
        <f t="shared" si="5"/>
        <v>-5.8102705224882811E-6</v>
      </c>
      <c r="R75" s="11">
        <v>0.27551251417250522</v>
      </c>
      <c r="S75" s="3">
        <f t="shared" si="6"/>
        <v>0.46800338197082453</v>
      </c>
      <c r="T75">
        <f t="shared" si="7"/>
        <v>-2.0208137812005589E-6</v>
      </c>
      <c r="U75" s="11">
        <v>0.2680584251382187</v>
      </c>
    </row>
    <row r="76" spans="6:21" x14ac:dyDescent="0.35">
      <c r="F76" s="2">
        <v>625</v>
      </c>
      <c r="G76">
        <f t="shared" ref="G76:G139" si="9">$F76/$C$6</f>
        <v>3.2791185729275973</v>
      </c>
      <c r="I76" s="5">
        <f t="shared" ref="I76:I139" si="10">$C$5*$F76/$C$2</f>
        <v>0.2598125</v>
      </c>
      <c r="K76">
        <f t="shared" ref="K76:K139" si="11">($C$5*$F76/($L76-$C$13))-($C$14/($L76^2))-$C$2</f>
        <v>-1.2184186743979808E-6</v>
      </c>
      <c r="L76" s="12">
        <v>0.26666861889221022</v>
      </c>
      <c r="M76" s="3">
        <f t="shared" ref="M76:M139" si="12">$C$21*($G76^(-1/2))*($C$5^2)*($C$6^2)/$C$3</f>
        <v>1.2889606629400596</v>
      </c>
      <c r="N76">
        <f t="shared" ref="N76:N139" si="13">($C$5*$F76/($O76-$C$22))-($M76/$O76/($O76+$C$22))-$C$2</f>
        <v>-1.2296169416003977E-7</v>
      </c>
      <c r="O76" s="11">
        <v>0.27058057401159513</v>
      </c>
      <c r="P76" s="3">
        <f t="shared" ref="P76:P139" si="14">(1+$C$34*(1-($G76^(1/2))))^2</f>
        <v>0.3499916084000646</v>
      </c>
      <c r="Q76">
        <f t="shared" ref="Q76:Q139" si="15">($C$5*$F76/($R76-$C$31))-($P76*$C$32/$R76/($R76+$C$31))-$C$2</f>
        <v>-5.9456010035319196E-6</v>
      </c>
      <c r="R76" s="11">
        <v>0.27781623891079033</v>
      </c>
      <c r="S76" s="3">
        <f t="shared" ref="S76:S139" si="16">(1+($C$42*(1-($G76^(1/2)))))^2</f>
        <v>0.46410782256067418</v>
      </c>
      <c r="T76">
        <f t="shared" ref="T76:T139" si="17">($C$5*$F76/($U76-$C$40))-($S76*$C$41/($U76*($U76+$C$40)+$C$40*($U76-$C$40)))-$C$2</f>
        <v>-1.932775262503128E-6</v>
      </c>
      <c r="U76" s="11">
        <v>0.27037780691866892</v>
      </c>
    </row>
    <row r="77" spans="6:21" x14ac:dyDescent="0.35">
      <c r="F77" s="2">
        <v>630</v>
      </c>
      <c r="G77">
        <f t="shared" si="9"/>
        <v>3.3053515215110179</v>
      </c>
      <c r="I77" s="5">
        <f t="shared" si="10"/>
        <v>0.26189100000000004</v>
      </c>
      <c r="K77">
        <f t="shared" si="11"/>
        <v>-1.410695972481335E-6</v>
      </c>
      <c r="L77" s="12">
        <v>0.2690011766031376</v>
      </c>
      <c r="M77" s="3">
        <f t="shared" si="12"/>
        <v>1.2838355505438217</v>
      </c>
      <c r="N77">
        <f t="shared" si="13"/>
        <v>-2.4576105488449684E-6</v>
      </c>
      <c r="O77" s="11">
        <v>0.27285847258815199</v>
      </c>
      <c r="P77" s="3">
        <f t="shared" si="14"/>
        <v>0.34569677936163468</v>
      </c>
      <c r="Q77">
        <f t="shared" si="15"/>
        <v>-6.0706293254497723E-6</v>
      </c>
      <c r="R77" s="11">
        <v>0.28011547946814175</v>
      </c>
      <c r="S77" s="3">
        <f t="shared" si="16"/>
        <v>0.46024399783973624</v>
      </c>
      <c r="T77">
        <f t="shared" si="17"/>
        <v>-1.8485922623767692E-6</v>
      </c>
      <c r="U77" s="11">
        <v>0.27269290988974698</v>
      </c>
    </row>
    <row r="78" spans="6:21" x14ac:dyDescent="0.35">
      <c r="F78" s="2">
        <v>635</v>
      </c>
      <c r="G78">
        <f t="shared" si="9"/>
        <v>3.3315844700944388</v>
      </c>
      <c r="I78" s="5">
        <f t="shared" si="10"/>
        <v>0.26396950000000002</v>
      </c>
      <c r="K78">
        <f t="shared" si="11"/>
        <v>-1.6107465512504859E-6</v>
      </c>
      <c r="L78" s="12">
        <v>0.2713299883797029</v>
      </c>
      <c r="M78" s="3">
        <f t="shared" si="12"/>
        <v>1.2787710907609013</v>
      </c>
      <c r="N78">
        <f t="shared" si="13"/>
        <v>-1.4269963344304415E-7</v>
      </c>
      <c r="O78" s="11">
        <v>0.27513278495651639</v>
      </c>
      <c r="P78" s="3">
        <f t="shared" si="14"/>
        <v>0.34144531680244661</v>
      </c>
      <c r="Q78">
        <f t="shared" si="15"/>
        <v>-6.185617820619882E-6</v>
      </c>
      <c r="R78" s="11">
        <v>0.28241034742807047</v>
      </c>
      <c r="S78" s="3">
        <f t="shared" si="16"/>
        <v>0.45641153075476115</v>
      </c>
      <c r="T78">
        <f t="shared" si="17"/>
        <v>-1.7681124688806449E-6</v>
      </c>
      <c r="U78" s="11">
        <v>0.27500383628639596</v>
      </c>
    </row>
    <row r="79" spans="6:21" x14ac:dyDescent="0.35">
      <c r="F79" s="2">
        <v>640</v>
      </c>
      <c r="G79">
        <f t="shared" si="9"/>
        <v>3.3578174186778593</v>
      </c>
      <c r="I79" s="5">
        <f t="shared" si="10"/>
        <v>0.26604800000000001</v>
      </c>
      <c r="K79">
        <f t="shared" si="11"/>
        <v>-1.8161293837692938E-6</v>
      </c>
      <c r="L79" s="12">
        <v>0.27365513840107225</v>
      </c>
      <c r="M79" s="3">
        <f t="shared" si="12"/>
        <v>1.2737660966409925</v>
      </c>
      <c r="N79">
        <f t="shared" si="13"/>
        <v>-1.5239643857967167E-7</v>
      </c>
      <c r="O79" s="11">
        <v>0.27740361245771439</v>
      </c>
      <c r="P79" s="3">
        <f t="shared" si="14"/>
        <v>0.33723670951635748</v>
      </c>
      <c r="Q79">
        <f t="shared" si="15"/>
        <v>-6.2908963514018978E-6</v>
      </c>
      <c r="R79" s="11">
        <v>0.28470095074989199</v>
      </c>
      <c r="S79" s="3">
        <f t="shared" si="16"/>
        <v>0.45261005166042784</v>
      </c>
      <c r="T79">
        <f t="shared" si="17"/>
        <v>-1.6911873217395623E-6</v>
      </c>
      <c r="U79" s="11">
        <v>0.27731068510670742</v>
      </c>
    </row>
    <row r="80" spans="6:21" x14ac:dyDescent="0.35">
      <c r="F80" s="2">
        <v>645</v>
      </c>
      <c r="G80">
        <f t="shared" si="9"/>
        <v>3.3840503672612803</v>
      </c>
      <c r="I80" s="5">
        <f t="shared" si="10"/>
        <v>0.26812649999999999</v>
      </c>
      <c r="K80">
        <f t="shared" si="11"/>
        <v>-2.0242962648353569E-6</v>
      </c>
      <c r="L80" s="12">
        <v>0.275976708403815</v>
      </c>
      <c r="M80" s="3">
        <f t="shared" si="12"/>
        <v>1.268819413500768</v>
      </c>
      <c r="N80">
        <f t="shared" si="13"/>
        <v>-1.6194491081478191E-7</v>
      </c>
      <c r="O80" s="11">
        <v>0.27967104137213455</v>
      </c>
      <c r="P80" s="3">
        <f t="shared" si="14"/>
        <v>0.33307045626252263</v>
      </c>
      <c r="Q80">
        <f t="shared" si="15"/>
        <v>-6.3867698543162987E-6</v>
      </c>
      <c r="R80" s="11">
        <v>0.28698739391576783</v>
      </c>
      <c r="S80" s="3">
        <f t="shared" si="16"/>
        <v>0.44883919811717021</v>
      </c>
      <c r="T80">
        <f t="shared" si="17"/>
        <v>-1.6176475980955729E-6</v>
      </c>
      <c r="U80" s="11">
        <v>0.27961355224026696</v>
      </c>
    </row>
    <row r="81" spans="6:21" x14ac:dyDescent="0.35">
      <c r="F81" s="2">
        <v>650</v>
      </c>
      <c r="G81">
        <f t="shared" si="9"/>
        <v>3.4102833158447012</v>
      </c>
      <c r="I81" s="5">
        <f t="shared" si="10"/>
        <v>0.27020500000000003</v>
      </c>
      <c r="K81">
        <f t="shared" si="11"/>
        <v>-1.4243593113860697E-6</v>
      </c>
      <c r="L81" s="12">
        <v>0.2782947767012468</v>
      </c>
      <c r="M81" s="3">
        <f t="shared" si="12"/>
        <v>1.2639299178047803</v>
      </c>
      <c r="N81">
        <f t="shared" si="13"/>
        <v>-1.7132373386630206E-7</v>
      </c>
      <c r="O81" s="11">
        <v>0.28193515797628421</v>
      </c>
      <c r="P81" s="3">
        <f t="shared" si="14"/>
        <v>0.32894606549553579</v>
      </c>
      <c r="Q81">
        <f t="shared" si="15"/>
        <v>-6.4735777129953931E-6</v>
      </c>
      <c r="R81" s="11">
        <v>0.28926977807083126</v>
      </c>
      <c r="S81" s="3">
        <f t="shared" si="16"/>
        <v>0.44509861469604428</v>
      </c>
      <c r="T81">
        <f t="shared" si="17"/>
        <v>-1.5473669350285491E-6</v>
      </c>
      <c r="U81" s="11">
        <v>0.28191253059057447</v>
      </c>
    </row>
    <row r="82" spans="6:21" x14ac:dyDescent="0.35">
      <c r="F82" s="2">
        <v>655</v>
      </c>
      <c r="G82">
        <f t="shared" si="9"/>
        <v>3.4365162644281217</v>
      </c>
      <c r="I82" s="5">
        <f t="shared" si="10"/>
        <v>0.27228350000000001</v>
      </c>
      <c r="K82">
        <f t="shared" si="11"/>
        <v>-2.4385527694903431E-6</v>
      </c>
      <c r="L82" s="12">
        <v>0.28060942355724727</v>
      </c>
      <c r="M82" s="3">
        <f t="shared" si="12"/>
        <v>1.2590965160934346</v>
      </c>
      <c r="N82">
        <f t="shared" si="13"/>
        <v>-1.8051449046652124E-7</v>
      </c>
      <c r="O82" s="11">
        <v>0.28419604568036277</v>
      </c>
      <c r="P82" s="3">
        <f t="shared" si="14"/>
        <v>0.32486305510488861</v>
      </c>
      <c r="Q82">
        <f t="shared" si="15"/>
        <v>-6.551641263286001E-6</v>
      </c>
      <c r="R82" s="11">
        <v>0.29154820115644287</v>
      </c>
      <c r="S82" s="3">
        <f t="shared" si="16"/>
        <v>0.44138795279033638</v>
      </c>
      <c r="T82">
        <f t="shared" si="17"/>
        <v>-1.480209846249636E-6</v>
      </c>
      <c r="U82" s="11">
        <v>0.28420771019159369</v>
      </c>
    </row>
    <row r="83" spans="6:21" x14ac:dyDescent="0.35">
      <c r="F83" s="2">
        <v>660</v>
      </c>
      <c r="G83">
        <f t="shared" si="9"/>
        <v>3.4627492130115427</v>
      </c>
      <c r="I83" s="5">
        <f t="shared" si="10"/>
        <v>0.27436200000000005</v>
      </c>
      <c r="K83">
        <f t="shared" si="11"/>
        <v>-2.6394379801786272E-6</v>
      </c>
      <c r="L83" s="12">
        <v>0.28292072066663143</v>
      </c>
      <c r="M83" s="3">
        <f t="shared" si="12"/>
        <v>1.2543181439557165</v>
      </c>
      <c r="N83">
        <f t="shared" si="13"/>
        <v>-3.5155558180122171E-6</v>
      </c>
      <c r="O83" s="11">
        <v>0.2864537896323146</v>
      </c>
      <c r="P83" s="3">
        <f t="shared" si="14"/>
        <v>0.32082095216336565</v>
      </c>
      <c r="Q83">
        <f t="shared" si="15"/>
        <v>-6.6213346769927739E-6</v>
      </c>
      <c r="R83" s="11">
        <v>0.29382275803725427</v>
      </c>
      <c r="S83" s="3">
        <f t="shared" si="16"/>
        <v>0.43770687043363116</v>
      </c>
      <c r="T83">
        <f t="shared" si="17"/>
        <v>-1.4160239913962869E-6</v>
      </c>
      <c r="U83" s="11">
        <v>0.28649917831893923</v>
      </c>
    </row>
    <row r="84" spans="6:21" x14ac:dyDescent="0.35">
      <c r="F84" s="2">
        <v>665</v>
      </c>
      <c r="G84">
        <f t="shared" si="9"/>
        <v>3.4889821615949632</v>
      </c>
      <c r="I84" s="5">
        <f t="shared" si="10"/>
        <v>0.27644050000000003</v>
      </c>
      <c r="K84">
        <f t="shared" si="11"/>
        <v>-1.5489573002014367E-7</v>
      </c>
      <c r="L84" s="12">
        <v>0.28522873822394595</v>
      </c>
      <c r="M84" s="3">
        <f t="shared" si="12"/>
        <v>1.2495937650444819</v>
      </c>
      <c r="N84">
        <f t="shared" si="13"/>
        <v>-1.9827064079436241E-7</v>
      </c>
      <c r="O84" s="11">
        <v>0.28870845439472992</v>
      </c>
      <c r="P84" s="3">
        <f t="shared" si="14"/>
        <v>0.31681929268399978</v>
      </c>
      <c r="Q84">
        <f t="shared" si="15"/>
        <v>-6.6829633453835413E-6</v>
      </c>
      <c r="R84" s="11">
        <v>0.29609354062200244</v>
      </c>
      <c r="S84" s="3">
        <f t="shared" si="16"/>
        <v>0.43405503212406926</v>
      </c>
      <c r="T84">
        <f t="shared" si="17"/>
        <v>-1.3546949162446253E-6</v>
      </c>
      <c r="U84" s="11">
        <v>0.28878701959601494</v>
      </c>
    </row>
    <row r="85" spans="6:21" x14ac:dyDescent="0.35">
      <c r="F85" s="2">
        <v>670</v>
      </c>
      <c r="G85">
        <f t="shared" si="9"/>
        <v>3.5152151101783842</v>
      </c>
      <c r="I85" s="5">
        <f t="shared" si="10"/>
        <v>0.27851900000000002</v>
      </c>
      <c r="K85">
        <f t="shared" si="11"/>
        <v>-1.1851989256683737E-7</v>
      </c>
      <c r="L85" s="12">
        <v>0.28753355376126782</v>
      </c>
      <c r="M85" s="3">
        <f t="shared" si="12"/>
        <v>1.2449223701322385</v>
      </c>
      <c r="N85">
        <f t="shared" si="13"/>
        <v>-3.840276434630141E-6</v>
      </c>
      <c r="O85" s="11">
        <v>0.29096013390011422</v>
      </c>
      <c r="P85" s="3">
        <f t="shared" si="14"/>
        <v>0.31285762138523748</v>
      </c>
      <c r="Q85">
        <f t="shared" si="15"/>
        <v>-6.7368691247793322E-6</v>
      </c>
      <c r="R85" s="11">
        <v>0.29836063797892387</v>
      </c>
      <c r="S85" s="3">
        <f t="shared" si="16"/>
        <v>0.43043210865454307</v>
      </c>
      <c r="T85">
        <f t="shared" si="17"/>
        <v>-1.2960817912244238E-6</v>
      </c>
      <c r="U85" s="11">
        <v>0.29107131609512776</v>
      </c>
    </row>
    <row r="86" spans="6:21" x14ac:dyDescent="0.35">
      <c r="F86" s="2">
        <v>675</v>
      </c>
      <c r="G86">
        <f t="shared" si="9"/>
        <v>3.5414480587618051</v>
      </c>
      <c r="I86" s="5">
        <f t="shared" si="10"/>
        <v>0.2805975</v>
      </c>
      <c r="K86">
        <f t="shared" si="11"/>
        <v>-1.2860840570283472E-7</v>
      </c>
      <c r="L86" s="12">
        <v>0.28983523274458106</v>
      </c>
      <c r="M86" s="3">
        <f t="shared" si="12"/>
        <v>1.24030297620547</v>
      </c>
      <c r="N86">
        <f t="shared" si="13"/>
        <v>-3.9962784512681537E-6</v>
      </c>
      <c r="O86" s="11">
        <v>0.29320888700661418</v>
      </c>
      <c r="P86" s="3">
        <f t="shared" si="14"/>
        <v>0.30893549146397381</v>
      </c>
      <c r="Q86">
        <f t="shared" si="15"/>
        <v>-6.7833947525741678E-6</v>
      </c>
      <c r="R86" s="11">
        <v>0.3006241364456006</v>
      </c>
      <c r="S86" s="3">
        <f t="shared" si="16"/>
        <v>0.42683777694858038</v>
      </c>
      <c r="T86">
        <f t="shared" si="17"/>
        <v>-1.2400880962104566E-6</v>
      </c>
      <c r="U86" s="11">
        <v>0.29335214743417332</v>
      </c>
    </row>
    <row r="87" spans="6:21" x14ac:dyDescent="0.35">
      <c r="F87" s="2">
        <v>680</v>
      </c>
      <c r="G87">
        <f t="shared" si="9"/>
        <v>3.5676810073452256</v>
      </c>
      <c r="I87" s="5">
        <f t="shared" si="10"/>
        <v>0.28267600000000004</v>
      </c>
      <c r="K87">
        <f t="shared" si="11"/>
        <v>-2.537754966169814E-6</v>
      </c>
      <c r="L87" s="12">
        <v>0.29213384514245999</v>
      </c>
      <c r="M87" s="3">
        <f t="shared" si="12"/>
        <v>1.2357346255956527</v>
      </c>
      <c r="N87">
        <f t="shared" si="13"/>
        <v>-4.1478440380160464E-6</v>
      </c>
      <c r="O87" s="11">
        <v>0.2954547891761109</v>
      </c>
      <c r="P87" s="3">
        <f t="shared" si="14"/>
        <v>0.3050524643761407</v>
      </c>
      <c r="Q87">
        <f t="shared" si="15"/>
        <v>-6.8228454495056212E-6</v>
      </c>
      <c r="R87" s="11">
        <v>0.30288411973370755</v>
      </c>
      <c r="S87" s="3">
        <f t="shared" si="16"/>
        <v>0.42327171990169227</v>
      </c>
      <c r="T87">
        <f t="shared" si="17"/>
        <v>-1.1865739679706166E-6</v>
      </c>
      <c r="U87" s="11">
        <v>0.29562959086873364</v>
      </c>
    </row>
    <row r="88" spans="6:21" x14ac:dyDescent="0.35">
      <c r="F88" s="2">
        <v>685</v>
      </c>
      <c r="G88">
        <f t="shared" si="9"/>
        <v>3.5939139559286466</v>
      </c>
      <c r="I88" s="5">
        <f t="shared" si="10"/>
        <v>0.28475450000000002</v>
      </c>
      <c r="K88">
        <f t="shared" si="11"/>
        <v>-1.4801017300669628E-7</v>
      </c>
      <c r="L88" s="12">
        <v>0.29442944590566539</v>
      </c>
      <c r="M88" s="3">
        <f t="shared" si="12"/>
        <v>1.2312163851452236</v>
      </c>
      <c r="N88">
        <f t="shared" si="13"/>
        <v>-2.3098507995200634E-7</v>
      </c>
      <c r="O88" s="11">
        <v>0.29769790319358164</v>
      </c>
      <c r="P88" s="3">
        <f t="shared" si="14"/>
        <v>0.30120810962454164</v>
      </c>
      <c r="Q88">
        <f t="shared" si="15"/>
        <v>-6.8555539769477036E-6</v>
      </c>
      <c r="R88" s="11">
        <v>0.30514066902908393</v>
      </c>
      <c r="S88" s="3">
        <f t="shared" si="16"/>
        <v>0.41973362622795907</v>
      </c>
      <c r="T88">
        <f t="shared" si="17"/>
        <v>-1.1354505318195152E-6</v>
      </c>
      <c r="U88" s="11">
        <v>0.29790372138027982</v>
      </c>
    </row>
    <row r="89" spans="6:21" x14ac:dyDescent="0.35">
      <c r="F89" s="2">
        <v>690</v>
      </c>
      <c r="G89">
        <f t="shared" si="9"/>
        <v>3.6201469045120671</v>
      </c>
      <c r="I89" s="5">
        <f t="shared" si="10"/>
        <v>0.286833</v>
      </c>
      <c r="K89">
        <f t="shared" si="11"/>
        <v>-1.5712240042375925E-7</v>
      </c>
      <c r="L89" s="12">
        <v>0.29672210798727772</v>
      </c>
      <c r="M89" s="3">
        <f t="shared" si="12"/>
        <v>1.2267473454068496</v>
      </c>
      <c r="N89">
        <f t="shared" si="13"/>
        <v>-2.3854164510339615E-7</v>
      </c>
      <c r="O89" s="11">
        <v>0.29993830655756842</v>
      </c>
      <c r="P89" s="3">
        <f t="shared" si="14"/>
        <v>0.29740200455364285</v>
      </c>
      <c r="Q89">
        <f t="shared" si="15"/>
        <v>-6.8818132490378048E-6</v>
      </c>
      <c r="R89" s="11">
        <v>0.30739386308705402</v>
      </c>
      <c r="S89" s="3">
        <f t="shared" si="16"/>
        <v>0.4162231903116474</v>
      </c>
      <c r="T89">
        <f t="shared" si="17"/>
        <v>-1.0865974218177143E-6</v>
      </c>
      <c r="U89" s="11">
        <v>0.30017461176019833</v>
      </c>
    </row>
    <row r="90" spans="6:21" x14ac:dyDescent="0.35">
      <c r="F90" s="2">
        <v>695</v>
      </c>
      <c r="G90">
        <f t="shared" si="9"/>
        <v>3.6463798530954881</v>
      </c>
      <c r="I90" s="5">
        <f t="shared" si="10"/>
        <v>0.28891150000000004</v>
      </c>
      <c r="K90">
        <f t="shared" si="11"/>
        <v>-1.6571607375226449E-7</v>
      </c>
      <c r="L90" s="12">
        <v>0.29901188938133821</v>
      </c>
      <c r="M90" s="3">
        <f t="shared" si="12"/>
        <v>1.2223266198744374</v>
      </c>
      <c r="N90">
        <f t="shared" si="13"/>
        <v>-4.5749969217467878E-6</v>
      </c>
      <c r="O90" s="11">
        <v>0.30217606423142102</v>
      </c>
      <c r="P90" s="3">
        <f t="shared" si="14"/>
        <v>0.29363373415104449</v>
      </c>
      <c r="Q90">
        <f t="shared" si="15"/>
        <v>-6.9019136219594657E-6</v>
      </c>
      <c r="R90" s="11">
        <v>0.30964377832356865</v>
      </c>
      <c r="S90" s="3">
        <f t="shared" si="16"/>
        <v>0.41274011206365641</v>
      </c>
      <c r="T90">
        <f t="shared" si="17"/>
        <v>-1.0399165262242605E-6</v>
      </c>
      <c r="U90" s="11">
        <v>0.30244233269027487</v>
      </c>
    </row>
    <row r="91" spans="6:21" x14ac:dyDescent="0.35">
      <c r="F91" s="2">
        <v>700</v>
      </c>
      <c r="G91">
        <f t="shared" si="9"/>
        <v>3.672612801678909</v>
      </c>
      <c r="I91" s="5">
        <f t="shared" si="10"/>
        <v>0.29099000000000003</v>
      </c>
      <c r="K91">
        <f t="shared" si="11"/>
        <v>-3.191534176494315E-6</v>
      </c>
      <c r="L91" s="12">
        <v>0.30129885397561273</v>
      </c>
      <c r="M91" s="3">
        <f t="shared" si="12"/>
        <v>1.2179533442444097</v>
      </c>
      <c r="N91">
        <f t="shared" si="13"/>
        <v>-2.528868776607851E-7</v>
      </c>
      <c r="O91" s="11">
        <v>0.30441121998859672</v>
      </c>
      <c r="P91" s="3">
        <f t="shared" si="14"/>
        <v>0.2899028908553673</v>
      </c>
      <c r="Q91">
        <f t="shared" si="15"/>
        <v>-6.9161528415406792E-6</v>
      </c>
      <c r="R91" s="11">
        <v>0.31189048890221016</v>
      </c>
      <c r="S91" s="3">
        <f t="shared" si="16"/>
        <v>0.40928409678260419</v>
      </c>
      <c r="T91">
        <f t="shared" si="17"/>
        <v>-9.953134565421351E-7</v>
      </c>
      <c r="U91" s="11">
        <v>0.30470695281953747</v>
      </c>
    </row>
    <row r="92" spans="6:21" x14ac:dyDescent="0.35">
      <c r="F92" s="2">
        <v>705</v>
      </c>
      <c r="G92">
        <f t="shared" si="9"/>
        <v>3.6988457502623295</v>
      </c>
      <c r="I92" s="5">
        <f t="shared" si="10"/>
        <v>0.29306850000000001</v>
      </c>
      <c r="K92">
        <f t="shared" si="11"/>
        <v>-3.3276350279720646E-6</v>
      </c>
      <c r="L92" s="12">
        <v>0.30358305138362579</v>
      </c>
      <c r="M92" s="3">
        <f t="shared" si="12"/>
        <v>1.2136266757058456</v>
      </c>
      <c r="N92">
        <f t="shared" si="13"/>
        <v>-2.5967452188524476E-7</v>
      </c>
      <c r="O92" s="11">
        <v>0.30664385268131961</v>
      </c>
      <c r="P92" s="3">
        <f t="shared" si="14"/>
        <v>0.28620907437030346</v>
      </c>
      <c r="Q92">
        <f t="shared" si="15"/>
        <v>-6.9247915632786317E-6</v>
      </c>
      <c r="R92" s="11">
        <v>0.31413406681723288</v>
      </c>
      <c r="S92" s="3">
        <f t="shared" si="16"/>
        <v>0.40585485502037066</v>
      </c>
      <c r="T92">
        <f t="shared" si="17"/>
        <v>-9.5269035682576941E-7</v>
      </c>
      <c r="U92" s="11">
        <v>0.30696853883775266</v>
      </c>
    </row>
    <row r="93" spans="6:21" x14ac:dyDescent="0.35">
      <c r="F93" s="2">
        <v>710</v>
      </c>
      <c r="G93">
        <f t="shared" si="9"/>
        <v>3.7250786988457505</v>
      </c>
      <c r="I93" s="5">
        <f t="shared" si="10"/>
        <v>0.29514699999999999</v>
      </c>
      <c r="K93">
        <f t="shared" si="11"/>
        <v>-3.4498173704378132E-6</v>
      </c>
      <c r="L93" s="12">
        <v>0.30586454203898383</v>
      </c>
      <c r="M93" s="3">
        <f t="shared" si="12"/>
        <v>1.2093457922581672</v>
      </c>
      <c r="N93">
        <f t="shared" si="13"/>
        <v>-2.6620665494192508E-7</v>
      </c>
      <c r="O93" s="11">
        <v>0.30887401465753445</v>
      </c>
      <c r="P93" s="3">
        <f t="shared" si="14"/>
        <v>0.28255189148459303</v>
      </c>
      <c r="Q93">
        <f t="shared" si="15"/>
        <v>-6.9281158801004494E-6</v>
      </c>
      <c r="R93" s="11">
        <v>0.31637458197307144</v>
      </c>
      <c r="S93" s="3">
        <f t="shared" si="16"/>
        <v>0.40245210245192486</v>
      </c>
      <c r="T93">
        <f t="shared" si="17"/>
        <v>-9.1196091034362325E-7</v>
      </c>
      <c r="U93" s="11">
        <v>0.30922715554576125</v>
      </c>
    </row>
    <row r="94" spans="6:21" x14ac:dyDescent="0.35">
      <c r="F94" s="2">
        <v>715</v>
      </c>
      <c r="G94">
        <f t="shared" si="9"/>
        <v>3.751311647429171</v>
      </c>
      <c r="I94" s="5">
        <f t="shared" si="10"/>
        <v>0.29722550000000003</v>
      </c>
      <c r="K94">
        <f t="shared" si="11"/>
        <v>-1.9324656364005932E-7</v>
      </c>
      <c r="L94" s="12">
        <v>0.30814337590509827</v>
      </c>
      <c r="M94" s="3">
        <f t="shared" si="12"/>
        <v>1.2051098920551144</v>
      </c>
      <c r="N94">
        <f t="shared" si="13"/>
        <v>-2.7248518108535791E-7</v>
      </c>
      <c r="O94" s="11">
        <v>0.31110176265823336</v>
      </c>
      <c r="P94" s="3">
        <f t="shared" si="14"/>
        <v>0.27893095589769318</v>
      </c>
      <c r="Q94">
        <f t="shared" si="15"/>
        <v>-6.9263639659311593E-6</v>
      </c>
      <c r="R94" s="11">
        <v>0.31861210226015696</v>
      </c>
      <c r="S94" s="3">
        <f t="shared" si="16"/>
        <v>0.39907555974926945</v>
      </c>
      <c r="T94">
        <f t="shared" si="17"/>
        <v>-8.7304229623441643E-7</v>
      </c>
      <c r="U94" s="11">
        <v>0.31148286592274865</v>
      </c>
    </row>
    <row r="95" spans="6:21" x14ac:dyDescent="0.35">
      <c r="F95" s="2">
        <v>720</v>
      </c>
      <c r="G95">
        <f t="shared" si="9"/>
        <v>3.777544596012592</v>
      </c>
      <c r="I95" s="5">
        <f t="shared" si="10"/>
        <v>0.29930400000000001</v>
      </c>
      <c r="K95">
        <f t="shared" si="11"/>
        <v>-1.9806125806098862E-7</v>
      </c>
      <c r="L95" s="12">
        <v>0.31041961595628492</v>
      </c>
      <c r="M95" s="3">
        <f t="shared" si="12"/>
        <v>1.2009181927738199</v>
      </c>
      <c r="N95">
        <f t="shared" si="13"/>
        <v>-2.7851282879964856E-7</v>
      </c>
      <c r="O95" s="11">
        <v>0.31332715171822895</v>
      </c>
      <c r="P95" s="3">
        <f t="shared" si="14"/>
        <v>0.27534588805092575</v>
      </c>
      <c r="Q95">
        <f t="shared" si="15"/>
        <v>-6.9197739946957881E-6</v>
      </c>
      <c r="R95" s="11">
        <v>0.32084669362758989</v>
      </c>
      <c r="S95" s="3">
        <f t="shared" si="16"/>
        <v>0.39572495245934625</v>
      </c>
      <c r="T95">
        <f t="shared" si="17"/>
        <v>-8.3584865251395968E-7</v>
      </c>
      <c r="U95" s="11">
        <v>0.31373573119063547</v>
      </c>
    </row>
    <row r="96" spans="6:21" x14ac:dyDescent="0.35">
      <c r="F96" s="2">
        <v>725</v>
      </c>
      <c r="G96">
        <f t="shared" si="9"/>
        <v>3.8037775445960129</v>
      </c>
      <c r="I96" s="5">
        <f t="shared" si="10"/>
        <v>0.30138250000000005</v>
      </c>
      <c r="K96">
        <f t="shared" si="11"/>
        <v>-2.0193022010062123E-7</v>
      </c>
      <c r="L96" s="12">
        <v>0.31269330942537621</v>
      </c>
      <c r="M96" s="3">
        <f t="shared" si="12"/>
        <v>1.196769931007857</v>
      </c>
      <c r="N96">
        <f t="shared" si="13"/>
        <v>-2.8429292342480039E-7</v>
      </c>
      <c r="O96" s="11">
        <v>0.31555023522956255</v>
      </c>
      <c r="P96" s="3">
        <f t="shared" si="14"/>
        <v>0.27179631496389284</v>
      </c>
      <c r="Q96">
        <f t="shared" si="15"/>
        <v>-6.908590307830309E-6</v>
      </c>
      <c r="R96" s="11">
        <v>0.3230784201526043</v>
      </c>
      <c r="S96" s="3">
        <f t="shared" si="16"/>
        <v>0.39240001088575055</v>
      </c>
      <c r="T96">
        <f t="shared" si="17"/>
        <v>-8.0029852256302547E-7</v>
      </c>
      <c r="U96" s="11">
        <v>0.31598581087574901</v>
      </c>
    </row>
    <row r="97" spans="6:21" x14ac:dyDescent="0.35">
      <c r="F97" s="2">
        <v>730</v>
      </c>
      <c r="G97">
        <f t="shared" si="9"/>
        <v>3.8300104931794334</v>
      </c>
      <c r="I97" s="5">
        <f t="shared" si="10"/>
        <v>0.30346100000000004</v>
      </c>
      <c r="K97">
        <f t="shared" si="11"/>
        <v>-3.2717714759655792E-6</v>
      </c>
      <c r="L97" s="12">
        <v>0.31496451141425386</v>
      </c>
      <c r="M97" s="3">
        <f t="shared" si="12"/>
        <v>1.1926643616831922</v>
      </c>
      <c r="N97">
        <f t="shared" si="13"/>
        <v>-2.898293871567148E-7</v>
      </c>
      <c r="O97" s="11">
        <v>0.31777106500212132</v>
      </c>
      <c r="P97" s="3">
        <f t="shared" si="14"/>
        <v>0.26828187007595816</v>
      </c>
      <c r="Q97">
        <f t="shared" si="15"/>
        <v>-6.8930431211811083E-6</v>
      </c>
      <c r="R97" s="11">
        <v>0.32530734410700085</v>
      </c>
      <c r="S97" s="3">
        <f t="shared" si="16"/>
        <v>0.38910046997410869</v>
      </c>
      <c r="T97">
        <f t="shared" si="17"/>
        <v>-7.6632582590718812E-7</v>
      </c>
      <c r="U97" s="11">
        <v>0.31823316286789721</v>
      </c>
    </row>
    <row r="98" spans="6:21" x14ac:dyDescent="0.35">
      <c r="F98" s="2">
        <v>735</v>
      </c>
      <c r="G98">
        <f t="shared" si="9"/>
        <v>3.8562434417628544</v>
      </c>
      <c r="I98" s="5">
        <f t="shared" si="10"/>
        <v>0.30553950000000002</v>
      </c>
      <c r="K98">
        <f t="shared" si="11"/>
        <v>-1.8337019014325051E-7</v>
      </c>
      <c r="L98" s="12">
        <v>0.31723325743388875</v>
      </c>
      <c r="M98" s="3">
        <f t="shared" si="12"/>
        <v>1.1886007574960293</v>
      </c>
      <c r="N98">
        <f t="shared" si="13"/>
        <v>-5.5092548620905291E-6</v>
      </c>
      <c r="O98" s="11">
        <v>0.3199896991932385</v>
      </c>
      <c r="P98" s="3">
        <f t="shared" si="14"/>
        <v>0.26480219309260933</v>
      </c>
      <c r="Q98">
        <f t="shared" si="15"/>
        <v>-6.8733536409126827E-6</v>
      </c>
      <c r="R98" s="11">
        <v>0.32753352602077523</v>
      </c>
      <c r="S98" s="3">
        <f t="shared" si="16"/>
        <v>0.38582606920098517</v>
      </c>
      <c r="T98">
        <f t="shared" si="17"/>
        <v>-7.3385561449867964E-7</v>
      </c>
      <c r="U98" s="11">
        <v>0.32047784347691211</v>
      </c>
    </row>
    <row r="99" spans="6:21" x14ac:dyDescent="0.35">
      <c r="F99" s="2">
        <v>740</v>
      </c>
      <c r="G99">
        <f t="shared" si="9"/>
        <v>3.8824763903462749</v>
      </c>
      <c r="I99" s="5">
        <f t="shared" si="10"/>
        <v>0.307618</v>
      </c>
      <c r="K99">
        <f t="shared" si="11"/>
        <v>-1.8860211525861814E-7</v>
      </c>
      <c r="L99" s="12">
        <v>0.31949960912861652</v>
      </c>
      <c r="M99" s="3">
        <f t="shared" si="12"/>
        <v>1.1845784083715751</v>
      </c>
      <c r="N99">
        <f t="shared" si="13"/>
        <v>-3.0018929919606308E-7</v>
      </c>
      <c r="O99" s="11">
        <v>0.32220616300497018</v>
      </c>
      <c r="P99" s="3">
        <f t="shared" si="14"/>
        <v>0.26135692983651232</v>
      </c>
      <c r="Q99">
        <f t="shared" si="15"/>
        <v>-6.8496995027089724E-6</v>
      </c>
      <c r="R99" s="11">
        <v>0.32975702474298613</v>
      </c>
      <c r="S99" s="3">
        <f t="shared" si="16"/>
        <v>0.38257655246618222</v>
      </c>
      <c r="T99">
        <f t="shared" si="17"/>
        <v>-7.0282189312820265E-7</v>
      </c>
      <c r="U99" s="11">
        <v>0.32271990748690044</v>
      </c>
    </row>
    <row r="100" spans="6:21" x14ac:dyDescent="0.35">
      <c r="F100" s="2">
        <v>745</v>
      </c>
      <c r="G100">
        <f t="shared" si="9"/>
        <v>3.9087093389296959</v>
      </c>
      <c r="I100" s="5">
        <f t="shared" si="10"/>
        <v>0.30969650000000004</v>
      </c>
      <c r="K100">
        <f t="shared" si="11"/>
        <v>-1.9312645349600643E-7</v>
      </c>
      <c r="L100" s="12">
        <v>0.32176360855503783</v>
      </c>
      <c r="M100" s="3">
        <f t="shared" si="12"/>
        <v>1.180596620942822</v>
      </c>
      <c r="N100">
        <f t="shared" si="13"/>
        <v>-3.0502260983666929E-7</v>
      </c>
      <c r="O100" s="11">
        <v>0.32442052745349276</v>
      </c>
      <c r="P100" s="3">
        <f t="shared" si="14"/>
        <v>0.25794573210308941</v>
      </c>
      <c r="Q100">
        <f t="shared" si="15"/>
        <v>-6.8222994968891726E-6</v>
      </c>
      <c r="R100" s="11">
        <v>0.33197789750023715</v>
      </c>
      <c r="S100" s="3">
        <f t="shared" si="16"/>
        <v>0.37935166798831077</v>
      </c>
      <c r="T100">
        <f t="shared" si="17"/>
        <v>-6.7315642127141473E-7</v>
      </c>
      <c r="U100" s="11">
        <v>0.32495940820820712</v>
      </c>
    </row>
    <row r="101" spans="6:21" x14ac:dyDescent="0.35">
      <c r="F101" s="2">
        <v>750</v>
      </c>
      <c r="G101">
        <f t="shared" si="9"/>
        <v>3.9349422875131168</v>
      </c>
      <c r="I101" s="5">
        <f t="shared" si="10"/>
        <v>0.31177500000000002</v>
      </c>
      <c r="K101">
        <f t="shared" si="11"/>
        <v>-1.9690605768118985E-7</v>
      </c>
      <c r="L101" s="12">
        <v>0.32402530114715933</v>
      </c>
      <c r="M101" s="3">
        <f t="shared" si="12"/>
        <v>1.1766547180484732</v>
      </c>
      <c r="N101">
        <f t="shared" si="13"/>
        <v>-3.0963192898525449E-7</v>
      </c>
      <c r="O101" s="11">
        <v>0.32663283070354177</v>
      </c>
      <c r="P101" s="3">
        <f t="shared" si="14"/>
        <v>0.25456825752045148</v>
      </c>
      <c r="Q101">
        <f t="shared" si="15"/>
        <v>-6.7913380235040677E-6</v>
      </c>
      <c r="R101" s="11">
        <v>0.33419619995247452</v>
      </c>
      <c r="S101" s="3">
        <f t="shared" si="16"/>
        <v>0.37615116820350902</v>
      </c>
      <c r="T101">
        <f t="shared" si="17"/>
        <v>-6.4479439743081457E-7</v>
      </c>
      <c r="U101" s="11">
        <v>0.32719639752727026</v>
      </c>
    </row>
    <row r="102" spans="6:21" x14ac:dyDescent="0.35">
      <c r="F102" s="2">
        <v>755</v>
      </c>
      <c r="G102">
        <f t="shared" si="9"/>
        <v>3.9611752360965373</v>
      </c>
      <c r="I102" s="5">
        <f t="shared" si="10"/>
        <v>0.31385350000000001</v>
      </c>
      <c r="K102">
        <f t="shared" si="11"/>
        <v>-1.9990889654764032E-7</v>
      </c>
      <c r="L102" s="12">
        <v>0.32628473116109041</v>
      </c>
      <c r="M102" s="3">
        <f t="shared" si="12"/>
        <v>1.1727520382491836</v>
      </c>
      <c r="N102">
        <f t="shared" si="13"/>
        <v>-3.1402282729686704E-7</v>
      </c>
      <c r="O102" s="11">
        <v>0.32884311747520123</v>
      </c>
      <c r="P102" s="3">
        <f t="shared" si="14"/>
        <v>0.25122416941352388</v>
      </c>
      <c r="Q102">
        <f t="shared" si="15"/>
        <v>-6.7569957593605068E-6</v>
      </c>
      <c r="R102" s="11">
        <v>0.33641198624662333</v>
      </c>
      <c r="S102" s="3">
        <f t="shared" si="16"/>
        <v>0.37297480966719482</v>
      </c>
      <c r="T102">
        <f t="shared" si="17"/>
        <v>-6.1768361092617852E-7</v>
      </c>
      <c r="U102" s="11">
        <v>0.32943092595444801</v>
      </c>
    </row>
    <row r="103" spans="6:21" x14ac:dyDescent="0.35">
      <c r="F103" s="2">
        <v>760</v>
      </c>
      <c r="G103">
        <f t="shared" si="9"/>
        <v>3.9874081846799583</v>
      </c>
      <c r="I103" s="5">
        <f t="shared" si="10"/>
        <v>0.31593200000000005</v>
      </c>
      <c r="K103">
        <f t="shared" si="11"/>
        <v>-3.7368438938756299E-6</v>
      </c>
      <c r="L103" s="12">
        <v>0.32854194718892754</v>
      </c>
      <c r="M103" s="3">
        <f t="shared" si="12"/>
        <v>1.1688879353613366</v>
      </c>
      <c r="N103">
        <f t="shared" si="13"/>
        <v>-3.1820104595681187E-7</v>
      </c>
      <c r="O103" s="11">
        <v>0.33105143121883163</v>
      </c>
      <c r="P103" s="3">
        <f t="shared" si="14"/>
        <v>0.24791313667221657</v>
      </c>
      <c r="Q103">
        <f t="shared" si="15"/>
        <v>-6.7194401935921633E-6</v>
      </c>
      <c r="R103" s="11">
        <v>0.33862530906795274</v>
      </c>
      <c r="S103" s="3">
        <f t="shared" si="16"/>
        <v>0.36982235295874083</v>
      </c>
      <c r="T103">
        <f t="shared" si="17"/>
        <v>-5.9176008448957873E-7</v>
      </c>
      <c r="U103" s="11">
        <v>0.33166304266985752</v>
      </c>
    </row>
    <row r="104" spans="6:21" x14ac:dyDescent="0.35">
      <c r="F104" s="2">
        <v>765</v>
      </c>
      <c r="G104">
        <f t="shared" si="9"/>
        <v>4.0136411332633788</v>
      </c>
      <c r="I104" s="5">
        <f t="shared" si="10"/>
        <v>0.31801050000000003</v>
      </c>
      <c r="K104">
        <f t="shared" si="11"/>
        <v>-2.0347977169876685E-7</v>
      </c>
      <c r="L104" s="12">
        <v>0.3307969748124589</v>
      </c>
      <c r="M104" s="3">
        <f t="shared" si="12"/>
        <v>1.1650617780076074</v>
      </c>
      <c r="N104">
        <f t="shared" si="13"/>
        <v>-3.2217235457210336E-7</v>
      </c>
      <c r="O104" s="11">
        <v>0.33325781415967515</v>
      </c>
      <c r="P104" s="3">
        <f t="shared" si="14"/>
        <v>0.24463483362349037</v>
      </c>
      <c r="Q104">
        <f t="shared" si="15"/>
        <v>-6.6788551293939236E-6</v>
      </c>
      <c r="R104" s="11">
        <v>0.34083621968939865</v>
      </c>
      <c r="S104" s="3">
        <f t="shared" si="16"/>
        <v>0.36669356258896757</v>
      </c>
      <c r="T104">
        <f t="shared" si="17"/>
        <v>-5.6697638228797587E-7</v>
      </c>
      <c r="U104" s="11">
        <v>0.33389279556744933</v>
      </c>
    </row>
    <row r="105" spans="6:21" x14ac:dyDescent="0.35">
      <c r="F105" s="2">
        <v>770</v>
      </c>
      <c r="G105">
        <f t="shared" si="9"/>
        <v>4.0398740818467997</v>
      </c>
      <c r="I105" s="5">
        <f t="shared" si="10"/>
        <v>0.32008900000000007</v>
      </c>
      <c r="K105">
        <f t="shared" si="11"/>
        <v>-2.0400719336066686E-7</v>
      </c>
      <c r="L105" s="12">
        <v>0.33304987140266729</v>
      </c>
      <c r="M105" s="3">
        <f t="shared" si="12"/>
        <v>1.1612729491836031</v>
      </c>
      <c r="N105">
        <f t="shared" si="13"/>
        <v>-3.2594269328001246E-7</v>
      </c>
      <c r="O105" s="11">
        <v>0.33546230734059901</v>
      </c>
      <c r="P105" s="3">
        <f t="shared" si="14"/>
        <v>0.24138893990717966</v>
      </c>
      <c r="Q105">
        <f t="shared" si="15"/>
        <v>-6.635391741838248E-6</v>
      </c>
      <c r="R105" s="11">
        <v>0.3430447680187596</v>
      </c>
      <c r="S105" s="3">
        <f t="shared" si="16"/>
        <v>0.36358820691035321</v>
      </c>
      <c r="T105">
        <f t="shared" si="17"/>
        <v>-5.4327850307345216E-7</v>
      </c>
      <c r="U105" s="11">
        <v>0.33612023129724383</v>
      </c>
    </row>
    <row r="106" spans="6:21" x14ac:dyDescent="0.35">
      <c r="F106" s="2">
        <v>775</v>
      </c>
      <c r="G106">
        <f t="shared" si="9"/>
        <v>4.0661070304302207</v>
      </c>
      <c r="I106" s="5">
        <f t="shared" si="10"/>
        <v>0.32216750000000005</v>
      </c>
      <c r="K106">
        <f t="shared" si="11"/>
        <v>-3.7708556419602246E-6</v>
      </c>
      <c r="L106" s="12">
        <v>0.33530067703019223</v>
      </c>
      <c r="M106" s="3">
        <f t="shared" si="12"/>
        <v>1.1575208458399071</v>
      </c>
      <c r="N106">
        <f t="shared" si="13"/>
        <v>-6.1681794250034727E-6</v>
      </c>
      <c r="O106" s="11">
        <v>0.33766495997443208</v>
      </c>
      <c r="P106" s="3">
        <f t="shared" si="14"/>
        <v>0.23817514035543852</v>
      </c>
      <c r="Q106">
        <f t="shared" si="15"/>
        <v>-6.5892104146314523E-6</v>
      </c>
      <c r="R106" s="11">
        <v>0.34525100264412728</v>
      </c>
      <c r="S106" s="3">
        <f t="shared" si="16"/>
        <v>0.36050605802986274</v>
      </c>
      <c r="T106">
        <f t="shared" si="17"/>
        <v>-5.2061508881706686E-7</v>
      </c>
      <c r="U106" s="11">
        <v>0.33834539530593999</v>
      </c>
    </row>
    <row r="107" spans="6:21" x14ac:dyDescent="0.35">
      <c r="F107" s="2">
        <v>780</v>
      </c>
      <c r="G107">
        <f t="shared" si="9"/>
        <v>4.0923399790136417</v>
      </c>
      <c r="I107" s="5">
        <f t="shared" si="10"/>
        <v>0.32424600000000003</v>
      </c>
      <c r="K107">
        <f t="shared" si="11"/>
        <v>-2.0247699694664334E-7</v>
      </c>
      <c r="L107" s="12">
        <v>0.3375494136717051</v>
      </c>
      <c r="M107" s="3">
        <f t="shared" si="12"/>
        <v>1.153804878478881</v>
      </c>
      <c r="N107">
        <f t="shared" si="13"/>
        <v>-3.3290439205302391E-7</v>
      </c>
      <c r="O107" s="11">
        <v>0.339865782926419</v>
      </c>
      <c r="P107" s="3">
        <f t="shared" si="14"/>
        <v>0.23499312487568003</v>
      </c>
      <c r="Q107">
        <f t="shared" si="15"/>
        <v>-6.5404447866512783E-6</v>
      </c>
      <c r="R107" s="11">
        <v>0.34745497087737592</v>
      </c>
      <c r="S107" s="3">
        <f t="shared" si="16"/>
        <v>0.35744689172430244</v>
      </c>
      <c r="T107">
        <f t="shared" si="17"/>
        <v>-4.9894126163962937E-7</v>
      </c>
      <c r="U107" s="11">
        <v>0.34056833187591695</v>
      </c>
    </row>
    <row r="108" spans="6:21" x14ac:dyDescent="0.35">
      <c r="F108" s="2">
        <v>785</v>
      </c>
      <c r="G108">
        <f t="shared" si="9"/>
        <v>4.1185729275970617</v>
      </c>
      <c r="I108" s="5">
        <f t="shared" si="10"/>
        <v>0.32632450000000007</v>
      </c>
      <c r="K108">
        <f t="shared" si="11"/>
        <v>-2.0040411641275568E-7</v>
      </c>
      <c r="L108" s="12">
        <v>0.3397961361812406</v>
      </c>
      <c r="M108" s="3">
        <f t="shared" si="12"/>
        <v>1.1501244707656142</v>
      </c>
      <c r="N108">
        <f t="shared" si="13"/>
        <v>-3.361075755492493E-7</v>
      </c>
      <c r="O108" s="11">
        <v>0.34206484186555225</v>
      </c>
      <c r="P108" s="3">
        <f t="shared" si="14"/>
        <v>0.23184258833688901</v>
      </c>
      <c r="Q108">
        <f t="shared" si="15"/>
        <v>-6.4892555542428454E-6</v>
      </c>
      <c r="R108" s="11">
        <v>0.34965671879606153</v>
      </c>
      <c r="S108" s="3">
        <f t="shared" si="16"/>
        <v>0.35441048735811603</v>
      </c>
      <c r="T108">
        <f t="shared" si="17"/>
        <v>-4.782139342296432E-7</v>
      </c>
      <c r="U108" s="11">
        <v>0.34278908416269588</v>
      </c>
    </row>
    <row r="109" spans="6:21" x14ac:dyDescent="0.35">
      <c r="F109" s="2">
        <v>790</v>
      </c>
      <c r="G109">
        <f t="shared" si="9"/>
        <v>4.1448058761804827</v>
      </c>
      <c r="I109" s="5">
        <f t="shared" si="10"/>
        <v>0.328403</v>
      </c>
      <c r="K109">
        <f t="shared" si="11"/>
        <v>-3.6602703232802014E-6</v>
      </c>
      <c r="L109" s="12">
        <v>0.34204088149159084</v>
      </c>
      <c r="M109" s="3">
        <f t="shared" si="12"/>
        <v>1.1464790591524392</v>
      </c>
      <c r="N109">
        <f t="shared" si="13"/>
        <v>-3.391335212654667E-7</v>
      </c>
      <c r="O109" s="11">
        <v>0.34426216418705835</v>
      </c>
      <c r="P109" s="3">
        <f t="shared" si="14"/>
        <v>0.22872323045918522</v>
      </c>
      <c r="Q109">
        <f t="shared" si="15"/>
        <v>-6.4357687108440587E-6</v>
      </c>
      <c r="R109" s="11">
        <v>0.3518562912834835</v>
      </c>
      <c r="S109" s="3">
        <f t="shared" si="16"/>
        <v>0.35139662780352759</v>
      </c>
      <c r="T109">
        <f t="shared" si="17"/>
        <v>-4.5838834239475545E-7</v>
      </c>
      <c r="U109" s="11">
        <v>0.34500769423094724</v>
      </c>
    </row>
    <row r="110" spans="6:21" x14ac:dyDescent="0.35">
      <c r="F110" s="2">
        <v>795</v>
      </c>
      <c r="G110">
        <f t="shared" si="9"/>
        <v>4.1710388247639036</v>
      </c>
      <c r="I110" s="5">
        <f t="shared" si="10"/>
        <v>0.33048149999999998</v>
      </c>
      <c r="K110">
        <f t="shared" si="11"/>
        <v>-1.9363204728506389E-7</v>
      </c>
      <c r="L110" s="12">
        <v>0.34428366891176737</v>
      </c>
      <c r="M110" s="3">
        <f t="shared" si="12"/>
        <v>1.1428680925164549</v>
      </c>
      <c r="N110">
        <f t="shared" si="13"/>
        <v>-3.4198805565210932E-7</v>
      </c>
      <c r="O110" s="11">
        <v>0.34645778560390933</v>
      </c>
      <c r="P110" s="3">
        <f t="shared" si="14"/>
        <v>0.22563475570653105</v>
      </c>
      <c r="Q110">
        <f t="shared" si="15"/>
        <v>-6.3801160763432563E-6</v>
      </c>
      <c r="R110" s="11">
        <v>0.35405373206733443</v>
      </c>
      <c r="S110" s="3">
        <f t="shared" si="16"/>
        <v>0.34840509936296155</v>
      </c>
      <c r="T110">
        <f t="shared" si="17"/>
        <v>-4.3942225147475256E-7</v>
      </c>
      <c r="U110" s="11">
        <v>0.34722420308911989</v>
      </c>
    </row>
    <row r="111" spans="6:21" x14ac:dyDescent="0.35">
      <c r="F111" s="2">
        <v>800</v>
      </c>
      <c r="G111">
        <f t="shared" si="9"/>
        <v>4.1972717733473246</v>
      </c>
      <c r="I111" s="5">
        <f t="shared" si="10"/>
        <v>0.33256000000000002</v>
      </c>
      <c r="K111">
        <f t="shared" si="11"/>
        <v>-2.0069106199116504E-7</v>
      </c>
      <c r="L111" s="12">
        <v>0.34652455041219971</v>
      </c>
      <c r="M111" s="3">
        <f t="shared" si="12"/>
        <v>1.13929103180953</v>
      </c>
      <c r="N111">
        <f t="shared" si="13"/>
        <v>-3.4467691989448213E-7</v>
      </c>
      <c r="O111" s="11">
        <v>0.34865174086874778</v>
      </c>
      <c r="P111" s="3">
        <f t="shared" si="14"/>
        <v>0.22257687318246705</v>
      </c>
      <c r="Q111">
        <f t="shared" si="15"/>
        <v>-6.3224244115644979E-6</v>
      </c>
      <c r="R111" s="11">
        <v>0.35624908375676256</v>
      </c>
      <c r="S111" s="3">
        <f t="shared" si="16"/>
        <v>0.34543569169364996</v>
      </c>
      <c r="T111">
        <f t="shared" si="17"/>
        <v>-4.2128169752686517E-7</v>
      </c>
      <c r="U111" s="11">
        <v>0.34943865072274566</v>
      </c>
    </row>
    <row r="112" spans="6:21" x14ac:dyDescent="0.35">
      <c r="F112" s="2">
        <v>805</v>
      </c>
      <c r="G112">
        <f t="shared" si="9"/>
        <v>4.2235047219307456</v>
      </c>
      <c r="I112" s="5">
        <f t="shared" si="10"/>
        <v>0.33463850000000001</v>
      </c>
      <c r="K112">
        <f t="shared" si="11"/>
        <v>-2.0067571426807262E-7</v>
      </c>
      <c r="L112" s="12">
        <v>0.34876355470439496</v>
      </c>
      <c r="M112" s="3">
        <f t="shared" si="12"/>
        <v>1.1357473497202821</v>
      </c>
      <c r="N112">
        <f t="shared" si="13"/>
        <v>-3.4720565622592403E-7</v>
      </c>
      <c r="O112" s="11">
        <v>0.35084406380585015</v>
      </c>
      <c r="P112" s="3">
        <f t="shared" si="14"/>
        <v>0.21954929652877858</v>
      </c>
      <c r="Q112">
        <f t="shared" si="15"/>
        <v>-6.2628295438571513E-6</v>
      </c>
      <c r="R112" s="11">
        <v>0.35844238787804095</v>
      </c>
      <c r="S112" s="3">
        <f t="shared" si="16"/>
        <v>0.34248819773436012</v>
      </c>
      <c r="T112">
        <f t="shared" si="17"/>
        <v>-4.0392484379481175E-7</v>
      </c>
      <c r="U112" s="11">
        <v>0.35165107612643937</v>
      </c>
    </row>
    <row r="113" spans="6:21" x14ac:dyDescent="0.35">
      <c r="F113" s="2">
        <v>810</v>
      </c>
      <c r="G113">
        <f t="shared" si="9"/>
        <v>4.2497376705141656</v>
      </c>
      <c r="I113" s="5">
        <f t="shared" si="10"/>
        <v>0.33671699999999999</v>
      </c>
      <c r="K113">
        <f t="shared" si="11"/>
        <v>-3.7130827479359141E-6</v>
      </c>
      <c r="L113" s="12">
        <v>0.35100072111423608</v>
      </c>
      <c r="M113" s="3">
        <f t="shared" si="12"/>
        <v>1.1322365303475488</v>
      </c>
      <c r="N113">
        <f t="shared" si="13"/>
        <v>-3.4957997741003055E-7</v>
      </c>
      <c r="O113" s="11">
        <v>0.35303478734182403</v>
      </c>
      <c r="P113" s="3">
        <f t="shared" si="14"/>
        <v>0.21655174382698802</v>
      </c>
      <c r="Q113">
        <f t="shared" si="15"/>
        <v>-6.2014285902023403E-6</v>
      </c>
      <c r="R113" s="11">
        <v>0.36063368490876291</v>
      </c>
      <c r="S113" s="3">
        <f t="shared" si="16"/>
        <v>0.33956241363416512</v>
      </c>
      <c r="T113">
        <f t="shared" si="17"/>
        <v>-3.8731513996026479E-7</v>
      </c>
      <c r="U113" s="11">
        <v>0.35386151733473586</v>
      </c>
    </row>
    <row r="114" spans="6:21" x14ac:dyDescent="0.35">
      <c r="F114" s="2">
        <v>815</v>
      </c>
      <c r="G114">
        <f t="shared" si="9"/>
        <v>4.2759706190975866</v>
      </c>
      <c r="I114" s="5">
        <f t="shared" si="10"/>
        <v>0.33879550000000003</v>
      </c>
      <c r="K114">
        <f t="shared" si="11"/>
        <v>-1.9863441025336215E-7</v>
      </c>
      <c r="L114" s="12">
        <v>0.35323606487185377</v>
      </c>
      <c r="M114" s="3">
        <f t="shared" si="12"/>
        <v>1.1287580688848959</v>
      </c>
      <c r="N114">
        <f t="shared" si="13"/>
        <v>-3.5180514146304631E-7</v>
      </c>
      <c r="O114" s="11">
        <v>0.35522394353509584</v>
      </c>
      <c r="P114" s="3">
        <f t="shared" si="14"/>
        <v>0.21358393750258098</v>
      </c>
      <c r="Q114">
        <f t="shared" si="15"/>
        <v>-6.1383554736949009E-6</v>
      </c>
      <c r="R114" s="11">
        <v>0.36282301431093339</v>
      </c>
      <c r="S114" s="3">
        <f t="shared" si="16"/>
        <v>0.33665813868319122</v>
      </c>
      <c r="T114">
        <f t="shared" si="17"/>
        <v>-3.7142621067687287E-7</v>
      </c>
      <c r="U114" s="11">
        <v>0.35607001145175499</v>
      </c>
    </row>
    <row r="115" spans="6:21" x14ac:dyDescent="0.35">
      <c r="F115" s="2">
        <v>820</v>
      </c>
      <c r="G115">
        <f t="shared" si="9"/>
        <v>4.3022035676810075</v>
      </c>
      <c r="I115" s="5">
        <f t="shared" si="10"/>
        <v>0.34087400000000001</v>
      </c>
      <c r="K115">
        <f t="shared" si="11"/>
        <v>-3.6529907276872109E-6</v>
      </c>
      <c r="L115" s="12">
        <v>0.35546964114014956</v>
      </c>
      <c r="M115" s="3">
        <f t="shared" si="12"/>
        <v>1.125311471315722</v>
      </c>
      <c r="N115">
        <f t="shared" si="13"/>
        <v>-3.5388649166634423E-7</v>
      </c>
      <c r="O115" s="11">
        <v>0.35741156360424614</v>
      </c>
      <c r="P115" s="3">
        <f t="shared" si="14"/>
        <v>0.21064560423187159</v>
      </c>
      <c r="Q115">
        <f t="shared" si="15"/>
        <v>-6.0737204421457136E-6</v>
      </c>
      <c r="R115" s="11">
        <v>0.36501041456258454</v>
      </c>
      <c r="S115" s="3">
        <f t="shared" si="16"/>
        <v>0.33377517524527339</v>
      </c>
      <c r="T115">
        <f t="shared" si="17"/>
        <v>-3.5621894767245976E-7</v>
      </c>
      <c r="U115" s="11">
        <v>0.35827659467971329</v>
      </c>
    </row>
    <row r="116" spans="6:21" x14ac:dyDescent="0.35">
      <c r="F116" s="2">
        <v>825</v>
      </c>
      <c r="G116">
        <f t="shared" si="9"/>
        <v>4.3284365162644285</v>
      </c>
      <c r="I116" s="5">
        <f t="shared" si="10"/>
        <v>0.34295250000000005</v>
      </c>
      <c r="K116">
        <f t="shared" si="11"/>
        <v>-3.604249741329113E-6</v>
      </c>
      <c r="L116" s="12">
        <v>0.35770146360532284</v>
      </c>
      <c r="M116" s="3">
        <f t="shared" si="12"/>
        <v>1.1218962541185398</v>
      </c>
      <c r="N116">
        <f t="shared" si="13"/>
        <v>-3.5582920077104063E-7</v>
      </c>
      <c r="O116" s="11">
        <v>0.35959767795524306</v>
      </c>
      <c r="P116" s="3">
        <f t="shared" si="14"/>
        <v>0.20773647485142011</v>
      </c>
      <c r="Q116">
        <f t="shared" si="15"/>
        <v>-6.0076125691921334E-6</v>
      </c>
      <c r="R116" s="11">
        <v>0.36719592318830035</v>
      </c>
      <c r="S116" s="3">
        <f t="shared" si="16"/>
        <v>0.33091332869245699</v>
      </c>
      <c r="T116">
        <f t="shared" si="17"/>
        <v>-3.4166438922511588E-7</v>
      </c>
      <c r="U116" s="11">
        <v>0.3604813023464532</v>
      </c>
    </row>
    <row r="117" spans="6:21" x14ac:dyDescent="0.35">
      <c r="F117" s="2">
        <v>830</v>
      </c>
      <c r="G117">
        <f t="shared" si="9"/>
        <v>4.3546694648478494</v>
      </c>
      <c r="I117" s="5">
        <f t="shared" si="10"/>
        <v>0.34503100000000003</v>
      </c>
      <c r="K117">
        <f t="shared" si="11"/>
        <v>-1.9055909206144861E-7</v>
      </c>
      <c r="L117" s="12">
        <v>0.35993156279778449</v>
      </c>
      <c r="M117" s="3">
        <f t="shared" si="12"/>
        <v>1.1185119439820392</v>
      </c>
      <c r="N117">
        <f t="shared" si="13"/>
        <v>-3.5763827099799528E-7</v>
      </c>
      <c r="O117" s="11">
        <v>0.3617823162076238</v>
      </c>
      <c r="P117" s="3">
        <f t="shared" si="14"/>
        <v>0.20485628426991598</v>
      </c>
      <c r="Q117">
        <f t="shared" si="15"/>
        <v>-5.9401365604117018E-6</v>
      </c>
      <c r="R117" s="11">
        <v>0.36937957678865768</v>
      </c>
      <c r="S117" s="3">
        <f t="shared" si="16"/>
        <v>0.32807240734128157</v>
      </c>
      <c r="T117">
        <f t="shared" si="17"/>
        <v>-3.277347389030183E-7</v>
      </c>
      <c r="U117" s="11">
        <v>0.36268416893190603</v>
      </c>
    </row>
    <row r="118" spans="6:21" x14ac:dyDescent="0.35">
      <c r="F118" s="2">
        <v>835</v>
      </c>
      <c r="G118">
        <f t="shared" si="9"/>
        <v>4.3809024134312695</v>
      </c>
      <c r="I118" s="5">
        <f t="shared" si="10"/>
        <v>0.34710950000000002</v>
      </c>
      <c r="K118">
        <f t="shared" si="11"/>
        <v>-1.8654927202987892E-7</v>
      </c>
      <c r="L118" s="12">
        <v>0.36215997988593007</v>
      </c>
      <c r="M118" s="3">
        <f t="shared" si="12"/>
        <v>1.1151580775295493</v>
      </c>
      <c r="N118">
        <f t="shared" si="13"/>
        <v>-3.5931853403781133E-7</v>
      </c>
      <c r="O118" s="11">
        <v>0.36396550721967108</v>
      </c>
      <c r="P118" s="3">
        <f t="shared" si="14"/>
        <v>0.20200477138244893</v>
      </c>
      <c r="Q118">
        <f t="shared" si="15"/>
        <v>-5.8714131228043698E-6</v>
      </c>
      <c r="R118" s="11">
        <v>0.37156141106851548</v>
      </c>
      <c r="S118" s="3">
        <f t="shared" si="16"/>
        <v>0.32525222239079138</v>
      </c>
      <c r="T118">
        <f t="shared" si="17"/>
        <v>-3.1440103498425742E-7</v>
      </c>
      <c r="U118" s="11">
        <v>0.36488522809359686</v>
      </c>
    </row>
    <row r="119" spans="6:21" x14ac:dyDescent="0.35">
      <c r="F119" s="2">
        <v>840</v>
      </c>
      <c r="G119">
        <f t="shared" si="9"/>
        <v>4.4071353620146905</v>
      </c>
      <c r="I119" s="5">
        <f t="shared" si="10"/>
        <v>0.34918800000000005</v>
      </c>
      <c r="K119">
        <f t="shared" si="11"/>
        <v>-1.8189396655543533E-7</v>
      </c>
      <c r="L119" s="12">
        <v>0.3643867381088795</v>
      </c>
      <c r="M119" s="3">
        <f t="shared" si="12"/>
        <v>1.1118342010525304</v>
      </c>
      <c r="N119">
        <f t="shared" si="13"/>
        <v>-6.7814465012361325E-6</v>
      </c>
      <c r="O119" s="11">
        <v>0.36614729023604331</v>
      </c>
      <c r="P119" s="3">
        <f t="shared" si="14"/>
        <v>0.19918167898708228</v>
      </c>
      <c r="Q119">
        <f t="shared" si="15"/>
        <v>-5.8015214676743199E-6</v>
      </c>
      <c r="R119" s="11">
        <v>0.37374146086415838</v>
      </c>
      <c r="S119" s="3">
        <f t="shared" si="16"/>
        <v>0.32245258786221104</v>
      </c>
      <c r="T119">
        <f t="shared" si="17"/>
        <v>-3.0163590736265178E-7</v>
      </c>
      <c r="U119" s="11">
        <v>0.36708451269123044</v>
      </c>
    </row>
    <row r="120" spans="6:21" x14ac:dyDescent="0.35">
      <c r="F120" s="2">
        <v>845</v>
      </c>
      <c r="G120">
        <f t="shared" si="9"/>
        <v>4.4333683105981114</v>
      </c>
      <c r="I120" s="5">
        <f t="shared" si="10"/>
        <v>0.35126650000000004</v>
      </c>
      <c r="K120">
        <f t="shared" si="11"/>
        <v>-3.2870702284526487E-6</v>
      </c>
      <c r="L120" s="12">
        <v>0.36661187117479588</v>
      </c>
      <c r="M120" s="3">
        <f t="shared" si="12"/>
        <v>1.1085398702527567</v>
      </c>
      <c r="N120">
        <f t="shared" si="13"/>
        <v>-3.6231165267963661E-7</v>
      </c>
      <c r="O120" s="11">
        <v>0.36832765929400685</v>
      </c>
      <c r="P120" s="3">
        <f t="shared" si="14"/>
        <v>0.19638675370366238</v>
      </c>
      <c r="Q120">
        <f t="shared" si="15"/>
        <v>-5.7305592235934455E-6</v>
      </c>
      <c r="R120" s="11">
        <v>0.37591976016964312</v>
      </c>
      <c r="S120" s="3">
        <f t="shared" si="16"/>
        <v>0.31967332054023784</v>
      </c>
      <c r="T120">
        <f t="shared" si="17"/>
        <v>-2.8941536811544211E-7</v>
      </c>
      <c r="U120" s="11">
        <v>0.36928205481038745</v>
      </c>
    </row>
    <row r="121" spans="6:21" x14ac:dyDescent="0.35">
      <c r="F121" s="2">
        <v>850</v>
      </c>
      <c r="G121">
        <f t="shared" si="9"/>
        <v>4.4596012591815324</v>
      </c>
      <c r="I121" s="5">
        <f t="shared" si="10"/>
        <v>0.35334500000000008</v>
      </c>
      <c r="K121">
        <f t="shared" si="11"/>
        <v>-1.7069069713215868E-7</v>
      </c>
      <c r="L121" s="12">
        <v>0.36883539059775983</v>
      </c>
      <c r="M121" s="3">
        <f t="shared" si="12"/>
        <v>1.1052746499928525</v>
      </c>
      <c r="N121">
        <f t="shared" si="13"/>
        <v>-3.6363346112011641E-7</v>
      </c>
      <c r="O121" s="11">
        <v>0.37050667447998825</v>
      </c>
      <c r="P121" s="3">
        <f t="shared" si="14"/>
        <v>0.19361974589478376</v>
      </c>
      <c r="Q121">
        <f t="shared" si="15"/>
        <v>-5.6586077903375553E-6</v>
      </c>
      <c r="R121" s="11">
        <v>0.3780963421620262</v>
      </c>
      <c r="S121" s="3">
        <f t="shared" si="16"/>
        <v>0.31691423991589335</v>
      </c>
      <c r="T121">
        <f t="shared" si="17"/>
        <v>-2.7771642407969921E-7</v>
      </c>
      <c r="U121" s="11">
        <v>0.37147788578536289</v>
      </c>
    </row>
    <row r="122" spans="6:21" x14ac:dyDescent="0.35">
      <c r="F122" s="2">
        <v>855</v>
      </c>
      <c r="G122">
        <f t="shared" si="9"/>
        <v>4.4858342077649533</v>
      </c>
      <c r="I122" s="5">
        <f t="shared" si="10"/>
        <v>0.3554235</v>
      </c>
      <c r="K122">
        <f t="shared" si="11"/>
        <v>-1.6416817061326583E-7</v>
      </c>
      <c r="L122" s="12">
        <v>0.37105733956511427</v>
      </c>
      <c r="M122" s="3">
        <f t="shared" si="12"/>
        <v>1.1020381140548585</v>
      </c>
      <c r="N122">
        <f t="shared" si="13"/>
        <v>-3.6484465226749307E-7</v>
      </c>
      <c r="O122" s="11">
        <v>0.37268435071702488</v>
      </c>
      <c r="P122" s="3">
        <f t="shared" si="14"/>
        <v>0.19088040958884356</v>
      </c>
      <c r="Q122">
        <f t="shared" si="15"/>
        <v>-5.5857678944448708E-6</v>
      </c>
      <c r="R122" s="11">
        <v>0.38027123922579731</v>
      </c>
      <c r="S122" s="3">
        <f t="shared" si="16"/>
        <v>0.31417516813088392</v>
      </c>
      <c r="T122">
        <f t="shared" si="17"/>
        <v>-2.665130978130037E-7</v>
      </c>
      <c r="U122" s="11">
        <v>0.37367203622118678</v>
      </c>
    </row>
    <row r="123" spans="6:21" x14ac:dyDescent="0.35">
      <c r="F123" s="2">
        <v>860</v>
      </c>
      <c r="G123">
        <f t="shared" si="9"/>
        <v>4.5120671563483734</v>
      </c>
      <c r="I123" s="5">
        <f t="shared" si="10"/>
        <v>0.35750199999999999</v>
      </c>
      <c r="K123">
        <f t="shared" si="11"/>
        <v>-1.5705083455941349E-7</v>
      </c>
      <c r="L123" s="12">
        <v>0.37327773910732331</v>
      </c>
      <c r="M123" s="3">
        <f t="shared" si="12"/>
        <v>1.098829844906537</v>
      </c>
      <c r="N123">
        <f t="shared" si="13"/>
        <v>-3.6594934726963402E-7</v>
      </c>
      <c r="O123" s="11">
        <v>0.37486071340260879</v>
      </c>
      <c r="P123" s="3">
        <f t="shared" si="14"/>
        <v>0.18816850240512017</v>
      </c>
      <c r="Q123">
        <f t="shared" si="15"/>
        <v>-5.5121038258221233E-6</v>
      </c>
      <c r="R123" s="11">
        <v>0.38244448297627731</v>
      </c>
      <c r="S123" s="3">
        <f t="shared" si="16"/>
        <v>0.3114559299234278</v>
      </c>
      <c r="T123">
        <f t="shared" si="17"/>
        <v>-2.5578489726285625E-7</v>
      </c>
      <c r="U123" s="11">
        <v>0.37586453601488595</v>
      </c>
    </row>
    <row r="124" spans="6:21" x14ac:dyDescent="0.35">
      <c r="F124" s="2">
        <v>865</v>
      </c>
      <c r="G124">
        <f t="shared" si="9"/>
        <v>4.5383001049317944</v>
      </c>
      <c r="I124" s="5">
        <f t="shared" si="10"/>
        <v>0.35958050000000003</v>
      </c>
      <c r="K124">
        <f t="shared" si="11"/>
        <v>-1.4935417880224122E-7</v>
      </c>
      <c r="L124" s="12">
        <v>0.37549661503984016</v>
      </c>
      <c r="M124" s="3">
        <f t="shared" si="12"/>
        <v>1.0956494334751121</v>
      </c>
      <c r="N124">
        <f t="shared" si="13"/>
        <v>-6.9049122828346299E-6</v>
      </c>
      <c r="O124" s="11">
        <v>0.37703579897725958</v>
      </c>
      <c r="P124" s="3">
        <f t="shared" si="14"/>
        <v>0.18548378548080599</v>
      </c>
      <c r="Q124">
        <f t="shared" si="15"/>
        <v>6.5383557057430153E-7</v>
      </c>
      <c r="R124" s="11">
        <v>0.38461609336169039</v>
      </c>
      <c r="S124" s="3">
        <f t="shared" si="16"/>
        <v>0.30875635257549255</v>
      </c>
      <c r="T124">
        <f t="shared" si="17"/>
        <v>-2.4550661237299209E-7</v>
      </c>
      <c r="U124" s="11">
        <v>0.37805541437596507</v>
      </c>
    </row>
    <row r="125" spans="6:21" x14ac:dyDescent="0.35">
      <c r="F125" s="2">
        <v>870</v>
      </c>
      <c r="G125">
        <f t="shared" si="9"/>
        <v>4.5645330535152153</v>
      </c>
      <c r="I125" s="5">
        <f t="shared" si="10"/>
        <v>0.36165900000000001</v>
      </c>
      <c r="K125">
        <f t="shared" si="11"/>
        <v>-2.6304190612336242E-6</v>
      </c>
      <c r="L125" s="12">
        <v>0.37771399703732644</v>
      </c>
      <c r="M125" s="3">
        <f t="shared" si="12"/>
        <v>1.0924964789281744</v>
      </c>
      <c r="N125">
        <f t="shared" si="13"/>
        <v>-3.6785493762181432E-7</v>
      </c>
      <c r="O125" s="11">
        <v>0.37920959658391951</v>
      </c>
      <c r="P125" s="3">
        <f t="shared" si="14"/>
        <v>0.18282602339993792</v>
      </c>
      <c r="Q125">
        <f t="shared" si="15"/>
        <v>-5.3626824580987886E-6</v>
      </c>
      <c r="R125" s="11">
        <v>0.38678613328846584</v>
      </c>
      <c r="S125" s="3">
        <f t="shared" si="16"/>
        <v>0.30607626586140607</v>
      </c>
      <c r="T125">
        <f t="shared" si="17"/>
        <v>-2.3566806817143515E-7</v>
      </c>
      <c r="U125" s="11">
        <v>0.38024469984622272</v>
      </c>
    </row>
    <row r="126" spans="6:21" x14ac:dyDescent="0.35">
      <c r="F126" s="2">
        <v>875</v>
      </c>
      <c r="G126">
        <f t="shared" si="9"/>
        <v>4.5907660020986363</v>
      </c>
      <c r="I126" s="5">
        <f t="shared" si="10"/>
        <v>0.36373749999999999</v>
      </c>
      <c r="K126">
        <f t="shared" si="11"/>
        <v>-2.4670417531069688E-6</v>
      </c>
      <c r="L126" s="12">
        <v>0.37992990063114579</v>
      </c>
      <c r="M126" s="3">
        <f t="shared" si="12"/>
        <v>1.089370588461481</v>
      </c>
      <c r="N126">
        <f t="shared" si="13"/>
        <v>-6.9407226703788183E-6</v>
      </c>
      <c r="O126" s="11">
        <v>0.38138217667779367</v>
      </c>
      <c r="P126" s="3">
        <f t="shared" si="14"/>
        <v>0.18019498412416213</v>
      </c>
      <c r="Q126">
        <f t="shared" si="15"/>
        <v>-5.28706743807561E-6</v>
      </c>
      <c r="R126" s="11">
        <v>0.3889545994352257</v>
      </c>
      <c r="S126" s="3">
        <f t="shared" si="16"/>
        <v>0.30341550199779399</v>
      </c>
      <c r="T126">
        <f t="shared" si="17"/>
        <v>-2.262410134790116E-7</v>
      </c>
      <c r="U126" s="11">
        <v>0.38243242031878633</v>
      </c>
    </row>
    <row r="127" spans="6:21" x14ac:dyDescent="0.35">
      <c r="F127" s="2">
        <v>880</v>
      </c>
      <c r="G127">
        <f t="shared" si="9"/>
        <v>4.6169989506820572</v>
      </c>
      <c r="I127" s="5">
        <f t="shared" si="10"/>
        <v>0.36581600000000003</v>
      </c>
      <c r="K127">
        <f t="shared" si="11"/>
        <v>-2.2937173014270229E-6</v>
      </c>
      <c r="L127" s="12">
        <v>0.38214435460998625</v>
      </c>
      <c r="M127" s="3">
        <f t="shared" si="12"/>
        <v>1.0862713770933972</v>
      </c>
      <c r="N127">
        <f t="shared" si="13"/>
        <v>-6.9560010160785168E-6</v>
      </c>
      <c r="O127" s="11">
        <v>0.38355352693420497</v>
      </c>
      <c r="P127" s="3">
        <f t="shared" si="14"/>
        <v>0.17759043892527779</v>
      </c>
      <c r="Q127">
        <f t="shared" si="15"/>
        <v>-5.2109369335084921E-6</v>
      </c>
      <c r="R127" s="11">
        <v>0.39112153148026013</v>
      </c>
      <c r="S127" s="3">
        <f t="shared" si="16"/>
        <v>0.30077389559480244</v>
      </c>
      <c r="T127">
        <f t="shared" si="17"/>
        <v>-2.1721032794630446E-7</v>
      </c>
      <c r="U127" s="11">
        <v>0.38461860305660067</v>
      </c>
    </row>
    <row r="128" spans="6:21" x14ac:dyDescent="0.35">
      <c r="F128" s="2">
        <v>885</v>
      </c>
      <c r="G128">
        <f t="shared" si="9"/>
        <v>4.6432318992654773</v>
      </c>
      <c r="I128" s="5">
        <f t="shared" si="10"/>
        <v>0.36789450000000001</v>
      </c>
      <c r="K128">
        <f t="shared" si="11"/>
        <v>-2.1107869656589173E-6</v>
      </c>
      <c r="L128" s="12">
        <v>0.38435738255516599</v>
      </c>
      <c r="M128" s="3">
        <f t="shared" si="12"/>
        <v>1.0831984674657327</v>
      </c>
      <c r="N128">
        <f t="shared" si="13"/>
        <v>-6.9696147306785861E-6</v>
      </c>
      <c r="O128" s="11">
        <v>0.38572368156491654</v>
      </c>
      <c r="P128" s="3">
        <f t="shared" si="14"/>
        <v>0.17501216231950126</v>
      </c>
      <c r="Q128">
        <f t="shared" si="15"/>
        <v>-5.13438200755445E-6</v>
      </c>
      <c r="R128" s="11">
        <v>0.39328695751764986</v>
      </c>
      <c r="S128" s="3">
        <f t="shared" si="16"/>
        <v>0.2981512836085663</v>
      </c>
      <c r="T128">
        <f t="shared" si="17"/>
        <v>-2.0855807747466315E-7</v>
      </c>
      <c r="U128" s="11">
        <v>0.38680327471020048</v>
      </c>
    </row>
    <row r="129" spans="6:21" x14ac:dyDescent="0.35">
      <c r="F129" s="2">
        <v>890</v>
      </c>
      <c r="G129">
        <f t="shared" si="9"/>
        <v>4.6694648478488983</v>
      </c>
      <c r="I129" s="5">
        <f t="shared" si="10"/>
        <v>0.36997300000000005</v>
      </c>
      <c r="K129">
        <f t="shared" si="11"/>
        <v>-1.9186016402272799E-6</v>
      </c>
      <c r="L129" s="12">
        <v>0.38656900752796297</v>
      </c>
      <c r="M129" s="3">
        <f t="shared" si="12"/>
        <v>1.0801514896507425</v>
      </c>
      <c r="N129">
        <f t="shared" si="13"/>
        <v>-6.9816261714095162E-6</v>
      </c>
      <c r="O129" s="11">
        <v>0.38789266246926568</v>
      </c>
      <c r="P129" s="3">
        <f t="shared" si="14"/>
        <v>0.17245993200340071</v>
      </c>
      <c r="Q129">
        <f t="shared" si="15"/>
        <v>-5.0574629710808949E-6</v>
      </c>
      <c r="R129" s="11">
        <v>0.39545090499682761</v>
      </c>
      <c r="S129" s="3">
        <f t="shared" si="16"/>
        <v>0.29554750529488366</v>
      </c>
      <c r="T129">
        <f t="shared" si="17"/>
        <v>-2.0026882907586696E-7</v>
      </c>
      <c r="U129" s="11">
        <v>0.38898646133491244</v>
      </c>
    </row>
    <row r="130" spans="6:21" x14ac:dyDescent="0.35">
      <c r="F130" s="2">
        <v>895</v>
      </c>
      <c r="G130">
        <f t="shared" si="9"/>
        <v>4.6956977964323192</v>
      </c>
      <c r="I130" s="5">
        <f t="shared" si="10"/>
        <v>0.37205150000000003</v>
      </c>
      <c r="K130">
        <f t="shared" si="11"/>
        <v>-1.7175202629005071E-6</v>
      </c>
      <c r="L130" s="12">
        <v>0.38877925208401271</v>
      </c>
      <c r="M130" s="3">
        <f t="shared" si="12"/>
        <v>1.0771300809640647</v>
      </c>
      <c r="N130">
        <f t="shared" si="13"/>
        <v>-3.7101958128005208E-7</v>
      </c>
      <c r="O130" s="11">
        <v>0.39006047878407824</v>
      </c>
      <c r="P130" s="3">
        <f t="shared" si="14"/>
        <v>0.16993352879144805</v>
      </c>
      <c r="Q130">
        <f t="shared" si="15"/>
        <v>-4.980241300245325E-6</v>
      </c>
      <c r="R130" s="11">
        <v>0.39761340074093643</v>
      </c>
      <c r="S130" s="3">
        <f t="shared" si="16"/>
        <v>0.29296240216406116</v>
      </c>
      <c r="T130">
        <f t="shared" si="17"/>
        <v>-1.9232490444665018E-7</v>
      </c>
      <c r="U130" s="11">
        <v>0.39116818840745593</v>
      </c>
    </row>
    <row r="131" spans="6:21" x14ac:dyDescent="0.35">
      <c r="F131" s="2">
        <v>900</v>
      </c>
      <c r="G131">
        <f t="shared" si="9"/>
        <v>4.7219307450157402</v>
      </c>
      <c r="I131" s="5">
        <f t="shared" si="10"/>
        <v>0.37413000000000002</v>
      </c>
      <c r="K131">
        <f t="shared" si="11"/>
        <v>-8.0738402630231576E-8</v>
      </c>
      <c r="L131" s="12">
        <v>0.39098813564960527</v>
      </c>
      <c r="M131" s="3">
        <f t="shared" si="12"/>
        <v>1.0741338857833831</v>
      </c>
      <c r="N131">
        <f t="shared" si="13"/>
        <v>-3.7140537756386038E-7</v>
      </c>
      <c r="O131" s="11">
        <v>0.39222717577029326</v>
      </c>
      <c r="P131" s="3">
        <f t="shared" si="14"/>
        <v>0.16743273655513766</v>
      </c>
      <c r="Q131">
        <f t="shared" si="15"/>
        <v>-4.9027794091216492E-6</v>
      </c>
      <c r="R131" s="11">
        <v>0.3997744709645043</v>
      </c>
      <c r="S131" s="3">
        <f t="shared" si="16"/>
        <v>0.29039581793689145</v>
      </c>
      <c r="T131">
        <f t="shared" si="17"/>
        <v>-1.8471229168426362E-7</v>
      </c>
      <c r="U131" s="11">
        <v>0.39334848084200347</v>
      </c>
    </row>
    <row r="132" spans="6:21" x14ac:dyDescent="0.35">
      <c r="F132" s="2">
        <v>905</v>
      </c>
      <c r="G132">
        <f t="shared" si="9"/>
        <v>4.7481636935991611</v>
      </c>
      <c r="I132" s="5">
        <f t="shared" si="10"/>
        <v>0.37620850000000006</v>
      </c>
      <c r="K132">
        <f t="shared" si="11"/>
        <v>-6.9058330609550467E-8</v>
      </c>
      <c r="L132" s="12">
        <v>0.39319568545359623</v>
      </c>
      <c r="M132" s="3">
        <f t="shared" si="12"/>
        <v>1.0711625553726076</v>
      </c>
      <c r="N132">
        <f t="shared" si="13"/>
        <v>-3.7171605526964413E-7</v>
      </c>
      <c r="O132" s="11">
        <v>0.39439276165212422</v>
      </c>
      <c r="P132" s="3">
        <f t="shared" si="14"/>
        <v>0.1649573421636264</v>
      </c>
      <c r="Q132">
        <f t="shared" si="15"/>
        <v>-4.8251415591948899E-6</v>
      </c>
      <c r="R132" s="11">
        <v>0.4019341412905198</v>
      </c>
      <c r="S132" s="3">
        <f t="shared" si="16"/>
        <v>0.28784759850173103</v>
      </c>
      <c r="T132">
        <f t="shared" si="17"/>
        <v>-1.7741641045176948E-7</v>
      </c>
      <c r="U132" s="11">
        <v>0.39552736300568425</v>
      </c>
    </row>
    <row r="133" spans="6:21" x14ac:dyDescent="0.35">
      <c r="F133" s="2">
        <v>910</v>
      </c>
      <c r="G133">
        <f t="shared" si="9"/>
        <v>4.7743966421825812</v>
      </c>
      <c r="I133" s="5">
        <f t="shared" si="10"/>
        <v>0.37828700000000004</v>
      </c>
      <c r="K133">
        <f t="shared" si="11"/>
        <v>-5.696830385204521E-8</v>
      </c>
      <c r="L133" s="12">
        <v>0.39540191962903448</v>
      </c>
      <c r="M133" s="3">
        <f t="shared" si="12"/>
        <v>1.0682157477113743</v>
      </c>
      <c r="N133">
        <f t="shared" si="13"/>
        <v>-3.7195451341176522E-7</v>
      </c>
      <c r="O133" s="11">
        <v>0.39655725632635874</v>
      </c>
      <c r="P133" s="3">
        <f t="shared" si="14"/>
        <v>0.16250713542584602</v>
      </c>
      <c r="Q133">
        <f t="shared" si="15"/>
        <v>-4.7473930067098991E-6</v>
      </c>
      <c r="R133" s="11">
        <v>0.40409243676692819</v>
      </c>
      <c r="S133" s="3">
        <f t="shared" si="16"/>
        <v>0.28531759187264238</v>
      </c>
      <c r="T133">
        <f t="shared" si="17"/>
        <v>-1.7042324884641857E-7</v>
      </c>
      <c r="U133" s="11">
        <v>0.39770485873358097</v>
      </c>
    </row>
    <row r="134" spans="6:21" x14ac:dyDescent="0.35">
      <c r="F134" s="2">
        <v>915</v>
      </c>
      <c r="G134">
        <f t="shared" si="9"/>
        <v>4.8006295907660022</v>
      </c>
      <c r="I134" s="5">
        <f t="shared" si="10"/>
        <v>0.38036550000000008</v>
      </c>
      <c r="K134">
        <f t="shared" si="11"/>
        <v>-4.5555907490779646E-7</v>
      </c>
      <c r="L134" s="12">
        <v>0.39760685961611292</v>
      </c>
      <c r="M134" s="3">
        <f t="shared" si="12"/>
        <v>1.0652931273296782</v>
      </c>
      <c r="N134">
        <f t="shared" si="13"/>
        <v>-3.7212345205261954E-7</v>
      </c>
      <c r="O134" s="11">
        <v>0.39872067922519139</v>
      </c>
      <c r="P134" s="3">
        <f t="shared" si="14"/>
        <v>0.16008190903404557</v>
      </c>
      <c r="Q134">
        <f t="shared" si="15"/>
        <v>-4.6695727178303059E-6</v>
      </c>
      <c r="R134" s="11">
        <v>0.40624938188252308</v>
      </c>
      <c r="S134" s="3">
        <f t="shared" si="16"/>
        <v>0.28280564814857062</v>
      </c>
      <c r="T134">
        <f t="shared" si="17"/>
        <v>-1.6372058553315583E-7</v>
      </c>
      <c r="U134" s="11">
        <v>0.39988099134323057</v>
      </c>
    </row>
    <row r="135" spans="6:21" x14ac:dyDescent="0.35">
      <c r="F135" s="2">
        <v>920</v>
      </c>
      <c r="G135">
        <f t="shared" si="9"/>
        <v>4.8268625393494231</v>
      </c>
      <c r="I135" s="5">
        <f t="shared" si="10"/>
        <v>0.38244400000000006</v>
      </c>
      <c r="K135">
        <f t="shared" si="11"/>
        <v>-3.2238634162240487E-7</v>
      </c>
      <c r="L135" s="12">
        <v>0.39981052387306559</v>
      </c>
      <c r="M135" s="3">
        <f t="shared" si="12"/>
        <v>1.0623943651474552</v>
      </c>
      <c r="N135">
        <f t="shared" si="13"/>
        <v>-3.7222559967631241E-7</v>
      </c>
      <c r="O135" s="11">
        <v>0.40088304932964169</v>
      </c>
      <c r="P135" s="3">
        <f t="shared" si="14"/>
        <v>0.15768145850872148</v>
      </c>
      <c r="Q135">
        <f t="shared" si="15"/>
        <v>-4.5917503541659244E-6</v>
      </c>
      <c r="R135" s="11">
        <v>0.40840500058246515</v>
      </c>
      <c r="S135" s="3">
        <f t="shared" si="16"/>
        <v>0.28031161947352318</v>
      </c>
      <c r="T135">
        <f t="shared" si="17"/>
        <v>-1.5729457913948863E-7</v>
      </c>
      <c r="U135" s="11">
        <v>0.40205578364863848</v>
      </c>
    </row>
    <row r="136" spans="6:21" x14ac:dyDescent="0.35">
      <c r="F136" s="2">
        <v>925</v>
      </c>
      <c r="G136">
        <f t="shared" si="9"/>
        <v>4.8530954879328441</v>
      </c>
      <c r="I136" s="5">
        <f t="shared" si="10"/>
        <v>0.38452249999999999</v>
      </c>
      <c r="K136">
        <f t="shared" si="11"/>
        <v>-1.8700583837016893E-7</v>
      </c>
      <c r="L136" s="12">
        <v>0.40201293318806403</v>
      </c>
      <c r="M136" s="3">
        <f t="shared" si="12"/>
        <v>1.0595191383189391</v>
      </c>
      <c r="N136">
        <f t="shared" si="13"/>
        <v>-3.7226351423669257E-7</v>
      </c>
      <c r="O136" s="11">
        <v>0.40304438518251001</v>
      </c>
      <c r="P136" s="3">
        <f t="shared" si="14"/>
        <v>0.15530558214489004</v>
      </c>
      <c r="Q136">
        <f t="shared" si="15"/>
        <v>-4.5139699125229527E-6</v>
      </c>
      <c r="R136" s="11">
        <v>0.41055931628307557</v>
      </c>
      <c r="S136" s="3">
        <f t="shared" si="16"/>
        <v>0.27783535999772008</v>
      </c>
      <c r="T136">
        <f t="shared" si="17"/>
        <v>-1.5113303675207135E-7</v>
      </c>
      <c r="U136" s="11">
        <v>0.40422925797384707</v>
      </c>
    </row>
    <row r="137" spans="6:21" x14ac:dyDescent="0.35">
      <c r="F137" s="2">
        <v>930</v>
      </c>
      <c r="G137">
        <f t="shared" si="9"/>
        <v>4.8793284365162641</v>
      </c>
      <c r="I137" s="5">
        <f t="shared" si="10"/>
        <v>0.38660099999999997</v>
      </c>
      <c r="K137">
        <f t="shared" si="11"/>
        <v>-5.0065844447999552E-7</v>
      </c>
      <c r="L137" s="12">
        <v>0.40421410780481543</v>
      </c>
      <c r="M137" s="3">
        <f t="shared" si="12"/>
        <v>1.0566671300816284</v>
      </c>
      <c r="N137">
        <f t="shared" si="13"/>
        <v>-7.0267754495034751E-6</v>
      </c>
      <c r="O137" s="11">
        <v>0.40520471769235261</v>
      </c>
      <c r="P137" s="3">
        <f t="shared" si="14"/>
        <v>0.15295408095966717</v>
      </c>
      <c r="Q137">
        <f t="shared" si="15"/>
        <v>-4.4362869289216178E-6</v>
      </c>
      <c r="R137" s="11">
        <v>0.41271235188631589</v>
      </c>
      <c r="S137" s="3">
        <f t="shared" si="16"/>
        <v>0.27537672583969008</v>
      </c>
      <c r="T137">
        <f t="shared" si="17"/>
        <v>-1.4522461810884124E-7</v>
      </c>
      <c r="U137" s="11">
        <v>0.40640143616605506</v>
      </c>
    </row>
    <row r="138" spans="6:21" x14ac:dyDescent="0.35">
      <c r="F138" s="2">
        <v>935</v>
      </c>
      <c r="G138">
        <f t="shared" si="9"/>
        <v>4.9055613850996851</v>
      </c>
      <c r="I138" s="5">
        <f t="shared" si="10"/>
        <v>0.38867950000000001</v>
      </c>
      <c r="K138">
        <f t="shared" si="11"/>
        <v>-1.6648759526560752E-6</v>
      </c>
      <c r="L138" s="12">
        <v>0.40641406748445541</v>
      </c>
      <c r="M138" s="3">
        <f t="shared" si="12"/>
        <v>1.053838029609701</v>
      </c>
      <c r="N138">
        <f t="shared" si="13"/>
        <v>-3.7215625070530223E-7</v>
      </c>
      <c r="O138" s="11">
        <v>0.40736402618825374</v>
      </c>
      <c r="P138" s="3">
        <f t="shared" si="14"/>
        <v>0.15062675864111388</v>
      </c>
      <c r="Q138">
        <f t="shared" si="15"/>
        <v>-4.3587421316715336E-6</v>
      </c>
      <c r="R138" s="11">
        <v>0.41486412979367299</v>
      </c>
      <c r="S138" s="3">
        <f t="shared" si="16"/>
        <v>0.27293557504928129</v>
      </c>
      <c r="T138">
        <f t="shared" si="17"/>
        <v>-1.3956142197457666E-7</v>
      </c>
      <c r="U138" s="11">
        <v>0.40857233960831929</v>
      </c>
    </row>
    <row r="139" spans="6:21" x14ac:dyDescent="0.35">
      <c r="F139" s="2">
        <v>940</v>
      </c>
      <c r="G139">
        <f t="shared" si="9"/>
        <v>4.931794333683106</v>
      </c>
      <c r="I139" s="5">
        <f t="shared" si="10"/>
        <v>0.39075799999999999</v>
      </c>
      <c r="K139">
        <f t="shared" si="11"/>
        <v>-2.2658653620055702E-7</v>
      </c>
      <c r="L139" s="12">
        <v>0.40861282415898892</v>
      </c>
      <c r="M139" s="3">
        <f t="shared" si="12"/>
        <v>1.0510315318717207</v>
      </c>
      <c r="N139">
        <f t="shared" si="13"/>
        <v>-3.7201576219558774E-7</v>
      </c>
      <c r="O139" s="11">
        <v>0.40952236634613076</v>
      </c>
      <c r="P139" s="3">
        <f t="shared" si="14"/>
        <v>0.14832342149831129</v>
      </c>
      <c r="Q139">
        <f t="shared" si="15"/>
        <v>-4.2813879588265991E-6</v>
      </c>
      <c r="R139" s="11">
        <v>0.41701467191969294</v>
      </c>
      <c r="S139" s="3">
        <f t="shared" si="16"/>
        <v>0.27051176757156081</v>
      </c>
      <c r="T139">
        <f t="shared" si="17"/>
        <v>-1.3412869748208323E-7</v>
      </c>
      <c r="U139" s="11">
        <v>0.4107419892318232</v>
      </c>
    </row>
    <row r="140" spans="6:21" x14ac:dyDescent="0.35">
      <c r="F140" s="2">
        <v>945</v>
      </c>
      <c r="G140">
        <f t="shared" ref="G140:G151" si="18">$F140/$C$6</f>
        <v>4.958027282266527</v>
      </c>
      <c r="I140" s="5">
        <f t="shared" ref="I140:I151" si="19">$C$5*$F140/$C$2</f>
        <v>0.39283650000000003</v>
      </c>
      <c r="K140">
        <f t="shared" ref="K140:K151" si="20">($C$5*$F140/($L140-$C$13))-($C$14/($L140^2))-$C$2</f>
        <v>-3.6302503758633975E-7</v>
      </c>
      <c r="L140" s="12">
        <v>0.41081040405885988</v>
      </c>
      <c r="M140" s="3">
        <f t="shared" ref="M140:M151" si="21">$C$21*($G140^(-1/2))*($C$5^2)*($C$6^2)/$C$3</f>
        <v>1.048247337492495</v>
      </c>
      <c r="N140">
        <f t="shared" ref="N140:N151" si="22">($C$5*$F140/($O140-$C$22))-($M140/$O140/($O140+$C$22))-$C$2</f>
        <v>-3.7182027767812542E-7</v>
      </c>
      <c r="O140" s="11">
        <v>0.41167974228538978</v>
      </c>
      <c r="P140" s="3">
        <f t="shared" ref="P140:P151" si="23">(1+$C$34*(1-($G140^(1/2))))^2</f>
        <v>0.146043878412629</v>
      </c>
      <c r="Q140">
        <f t="shared" ref="Q140:Q151" si="24">($C$5*$F140/($R140-$C$31))-($P140*$C$32/$R140/($R140+$C$31))-$C$2</f>
        <v>-4.2042708514600236E-6</v>
      </c>
      <c r="R140" s="11">
        <v>0.41916399970499202</v>
      </c>
      <c r="S140" s="3">
        <f t="shared" ref="S140:S151" si="25">(1+($C$42*(1-($G140^(1/2)))))^2</f>
        <v>0.2681051652115789</v>
      </c>
      <c r="T140">
        <f t="shared" ref="T140:T151" si="26">($C$5*$F140/($U140-$C$40))-($S140*$C$41/($U140*($U140+$C$40)+$C$40*($U140-$C$40)))-$C$2</f>
        <v>-1.2891672440673574E-7</v>
      </c>
      <c r="U140" s="11">
        <v>0.41291040552779512</v>
      </c>
    </row>
    <row r="141" spans="6:21" x14ac:dyDescent="0.35">
      <c r="F141" s="2">
        <v>950</v>
      </c>
      <c r="G141">
        <f t="shared" si="18"/>
        <v>4.984260230849948</v>
      </c>
      <c r="I141" s="5">
        <f t="shared" si="19"/>
        <v>0.39491500000000002</v>
      </c>
      <c r="K141">
        <f t="shared" si="20"/>
        <v>-4.9820766889752122E-7</v>
      </c>
      <c r="L141" s="12">
        <v>0.41300682197398719</v>
      </c>
      <c r="M141" s="3">
        <f t="shared" si="21"/>
        <v>1.0454851526189313</v>
      </c>
      <c r="N141">
        <f t="shared" si="22"/>
        <v>-7.020511958444331E-6</v>
      </c>
      <c r="O141" s="11">
        <v>0.41383618359751756</v>
      </c>
      <c r="P141" s="3">
        <f t="shared" si="23"/>
        <v>0.14378794079015247</v>
      </c>
      <c r="Q141">
        <f t="shared" si="24"/>
        <v>-4.1274236366461992E-6</v>
      </c>
      <c r="R141" s="11">
        <v>0.42131213412886687</v>
      </c>
      <c r="S141" s="3">
        <f t="shared" si="25"/>
        <v>0.26571563159996847</v>
      </c>
      <c r="T141">
        <f t="shared" si="26"/>
        <v>-1.2391956261126325E-7</v>
      </c>
      <c r="U141" s="11">
        <v>0.41507760855902426</v>
      </c>
    </row>
    <row r="142" spans="6:21" x14ac:dyDescent="0.35">
      <c r="F142" s="2">
        <v>955</v>
      </c>
      <c r="G142">
        <f t="shared" si="18"/>
        <v>5.010493179433368</v>
      </c>
      <c r="I142" s="5">
        <f t="shared" si="19"/>
        <v>0.3969935</v>
      </c>
      <c r="K142">
        <f t="shared" si="20"/>
        <v>-6.398076379809936E-8</v>
      </c>
      <c r="L142" s="12">
        <v>0.41520209424239929</v>
      </c>
      <c r="M142" s="3">
        <f t="shared" si="21"/>
        <v>1.042744688789766</v>
      </c>
      <c r="N142">
        <f t="shared" si="22"/>
        <v>-3.7127279028936755E-7</v>
      </c>
      <c r="O142" s="11">
        <v>0.41599166726330478</v>
      </c>
      <c r="P142" s="3">
        <f t="shared" si="23"/>
        <v>0.14155542251523548</v>
      </c>
      <c r="Q142">
        <f t="shared" si="24"/>
        <v>-4.0508910785774788E-6</v>
      </c>
      <c r="R142" s="11">
        <v>0.42345909572156482</v>
      </c>
      <c r="S142" s="3">
        <f t="shared" si="25"/>
        <v>0.26334303215936056</v>
      </c>
      <c r="T142">
        <f t="shared" si="26"/>
        <v>-1.191247349652258E-7</v>
      </c>
      <c r="U142" s="11">
        <v>0.41724361797099302</v>
      </c>
    </row>
    <row r="143" spans="6:21" x14ac:dyDescent="0.35">
      <c r="F143" s="2">
        <v>960</v>
      </c>
      <c r="G143">
        <f t="shared" si="18"/>
        <v>5.036726128016789</v>
      </c>
      <c r="I143" s="5">
        <f t="shared" si="19"/>
        <v>0.39907200000000004</v>
      </c>
      <c r="K143">
        <f t="shared" si="20"/>
        <v>-7.7694380706816446E-8</v>
      </c>
      <c r="L143" s="12">
        <v>0.41739623995406638</v>
      </c>
      <c r="M143" s="3">
        <f t="shared" si="21"/>
        <v>1.0400256628090256</v>
      </c>
      <c r="N143">
        <f t="shared" si="22"/>
        <v>-3.7092473803568282E-7</v>
      </c>
      <c r="O143" s="11">
        <v>0.41814624826675345</v>
      </c>
      <c r="P143" s="3">
        <f t="shared" si="23"/>
        <v>0.13934613990514469</v>
      </c>
      <c r="Q143">
        <f t="shared" si="24"/>
        <v>-3.9747127402733895E-6</v>
      </c>
      <c r="R143" s="11">
        <v>0.4256049045760823</v>
      </c>
      <c r="S143" s="3">
        <f t="shared" si="25"/>
        <v>0.26098723407158808</v>
      </c>
      <c r="T143">
        <f t="shared" si="26"/>
        <v>-1.1452516446297523E-7</v>
      </c>
      <c r="U143" s="11">
        <v>0.41940845300270463</v>
      </c>
    </row>
    <row r="144" spans="6:21" x14ac:dyDescent="0.35">
      <c r="F144" s="2">
        <v>965</v>
      </c>
      <c r="G144">
        <f t="shared" si="18"/>
        <v>5.0629590766002099</v>
      </c>
      <c r="I144" s="5">
        <f t="shared" si="19"/>
        <v>0.40115050000000002</v>
      </c>
      <c r="K144">
        <f t="shared" si="20"/>
        <v>-9.1356866960268235E-8</v>
      </c>
      <c r="L144" s="12">
        <v>0.41958927498540538</v>
      </c>
      <c r="M144" s="3">
        <f t="shared" si="21"/>
        <v>1.0373277966231031</v>
      </c>
      <c r="N144">
        <f t="shared" si="22"/>
        <v>-3.7052961943118135E-7</v>
      </c>
      <c r="O144" s="11">
        <v>0.42029992900122193</v>
      </c>
      <c r="P144" s="3">
        <f t="shared" si="23"/>
        <v>0.13715991166576816</v>
      </c>
      <c r="Q144">
        <f t="shared" si="24"/>
        <v>-3.898939183955008E-6</v>
      </c>
      <c r="R144" s="11">
        <v>0.42774958035965444</v>
      </c>
      <c r="S144" s="3">
        <f t="shared" si="25"/>
        <v>0.25864810624565948</v>
      </c>
      <c r="T144">
        <f t="shared" si="26"/>
        <v>-1.1011263723048614E-7</v>
      </c>
      <c r="U144" s="11">
        <v>0.4215721324971351</v>
      </c>
    </row>
    <row r="145" spans="6:21" x14ac:dyDescent="0.35">
      <c r="F145" s="2">
        <v>970</v>
      </c>
      <c r="G145">
        <f t="shared" si="18"/>
        <v>5.0891920251836309</v>
      </c>
      <c r="I145" s="5">
        <f t="shared" si="19"/>
        <v>0.40322900000000006</v>
      </c>
      <c r="K145">
        <f t="shared" si="20"/>
        <v>-1.0495762126083719E-7</v>
      </c>
      <c r="L145" s="12">
        <v>0.42178121575043398</v>
      </c>
      <c r="M145" s="3">
        <f t="shared" si="21"/>
        <v>1.0346508172013202</v>
      </c>
      <c r="N145">
        <f t="shared" si="22"/>
        <v>-3.7008931030868553E-7</v>
      </c>
      <c r="O145" s="11">
        <v>0.42245272458081734</v>
      </c>
      <c r="P145" s="3">
        <f t="shared" si="23"/>
        <v>0.13499655884835249</v>
      </c>
      <c r="Q145">
        <f t="shared" si="24"/>
        <v>-3.8235697275013081E-6</v>
      </c>
      <c r="R145" s="11">
        <v>0.42989314232472597</v>
      </c>
      <c r="S145" s="3">
        <f t="shared" si="25"/>
        <v>0.2563255192864759</v>
      </c>
      <c r="T145">
        <f t="shared" si="26"/>
        <v>-1.0587928045424633E-7</v>
      </c>
      <c r="U145" s="11">
        <v>0.42373467491137723</v>
      </c>
    </row>
    <row r="146" spans="6:21" x14ac:dyDescent="0.35">
      <c r="F146" s="2">
        <v>975</v>
      </c>
      <c r="G146">
        <f t="shared" si="18"/>
        <v>5.1154249737670519</v>
      </c>
      <c r="I146" s="5">
        <f t="shared" si="19"/>
        <v>0.40530750000000004</v>
      </c>
      <c r="K146">
        <f t="shared" si="20"/>
        <v>-1.1848661074509437E-7</v>
      </c>
      <c r="L146" s="12">
        <v>0.42397207833395995</v>
      </c>
      <c r="M146" s="3">
        <f t="shared" si="21"/>
        <v>1.0319944564198649</v>
      </c>
      <c r="N146">
        <f t="shared" si="22"/>
        <v>-3.6960545912734233E-7</v>
      </c>
      <c r="O146" s="11">
        <v>0.42460464978924922</v>
      </c>
      <c r="P146" s="3">
        <f t="shared" si="23"/>
        <v>0.13285590480724385</v>
      </c>
      <c r="Q146">
        <f t="shared" si="24"/>
        <v>-3.748677301018688E-6</v>
      </c>
      <c r="R146" s="11">
        <v>0.432035609319951</v>
      </c>
      <c r="S146" s="3">
        <f t="shared" si="25"/>
        <v>0.25401934546427463</v>
      </c>
      <c r="T146">
        <f t="shared" si="26"/>
        <v>-1.0181599918723805E-7</v>
      </c>
      <c r="U146" s="11">
        <v>0.42589609832646408</v>
      </c>
    </row>
    <row r="147" spans="6:21" x14ac:dyDescent="0.35">
      <c r="F147" s="2">
        <v>980</v>
      </c>
      <c r="G147">
        <f t="shared" si="18"/>
        <v>5.1416579223504719</v>
      </c>
      <c r="I147" s="5">
        <f t="shared" si="19"/>
        <v>0.40738600000000003</v>
      </c>
      <c r="K147">
        <f t="shared" si="20"/>
        <v>-1.3193445624892775E-7</v>
      </c>
      <c r="L147" s="12">
        <v>0.42616187849990983</v>
      </c>
      <c r="M147" s="3">
        <f t="shared" si="21"/>
        <v>1.0293584509489884</v>
      </c>
      <c r="N147">
        <f t="shared" si="22"/>
        <v>-3.6907977118971758E-7</v>
      </c>
      <c r="O147" s="11">
        <v>0.42675571908875576</v>
      </c>
      <c r="P147" s="3">
        <f t="shared" si="23"/>
        <v>0.13073777515860319</v>
      </c>
      <c r="Q147">
        <f t="shared" si="24"/>
        <v>-3.6742542874890205E-6</v>
      </c>
      <c r="R147" s="11">
        <v>0.43417699980029695</v>
      </c>
      <c r="S147" s="3">
        <f t="shared" si="25"/>
        <v>0.25172945868477653</v>
      </c>
      <c r="T147">
        <f t="shared" si="26"/>
        <v>-9.7915773267231998E-8</v>
      </c>
      <c r="U147" s="11">
        <v>0.42805642045690151</v>
      </c>
    </row>
    <row r="148" spans="6:21" x14ac:dyDescent="0.35">
      <c r="F148" s="2">
        <v>985</v>
      </c>
      <c r="G148">
        <f t="shared" si="18"/>
        <v>5.1678908709338929</v>
      </c>
      <c r="I148" s="5">
        <f t="shared" si="19"/>
        <v>0.40946450000000006</v>
      </c>
      <c r="K148">
        <f t="shared" si="20"/>
        <v>-1.4529240388583275E-7</v>
      </c>
      <c r="L148" s="12">
        <v>0.42835063169940479</v>
      </c>
      <c r="M148" s="3">
        <f t="shared" si="21"/>
        <v>1.0267425421433576</v>
      </c>
      <c r="N148">
        <f t="shared" si="22"/>
        <v>-3.6851389495495823E-7</v>
      </c>
      <c r="O148" s="11">
        <v>0.42890594662874254</v>
      </c>
      <c r="P148" s="3">
        <f t="shared" si="23"/>
        <v>0.12864199774006638</v>
      </c>
      <c r="Q148">
        <f t="shared" si="24"/>
        <v>-3.6003643231197202E-6</v>
      </c>
      <c r="R148" s="11">
        <v>0.4363173318374432</v>
      </c>
      <c r="S148" s="3">
        <f t="shared" si="25"/>
        <v>0.24945573446001681</v>
      </c>
      <c r="T148">
        <f t="shared" si="26"/>
        <v>-9.4173230991145829E-8</v>
      </c>
      <c r="U148" s="11">
        <v>0.43021565865990108</v>
      </c>
    </row>
    <row r="149" spans="6:21" x14ac:dyDescent="0.35">
      <c r="F149" s="2">
        <v>990</v>
      </c>
      <c r="G149">
        <f t="shared" si="18"/>
        <v>5.1941238195173138</v>
      </c>
      <c r="I149" s="5">
        <f t="shared" si="19"/>
        <v>0.41154299999999999</v>
      </c>
      <c r="K149">
        <f t="shared" si="20"/>
        <v>-1.5855238189033116E-7</v>
      </c>
      <c r="L149" s="12">
        <v>0.43053835307859284</v>
      </c>
      <c r="M149" s="3">
        <f t="shared" si="21"/>
        <v>1.0241464759354539</v>
      </c>
      <c r="N149">
        <f t="shared" si="22"/>
        <v>-3.6790930835195468E-7</v>
      </c>
      <c r="O149" s="11">
        <v>0.43105534625414421</v>
      </c>
      <c r="P149" s="3">
        <f t="shared" si="23"/>
        <v>0.12656840257132673</v>
      </c>
      <c r="Q149">
        <f t="shared" si="24"/>
        <v>-3.5270226135253324E-6</v>
      </c>
      <c r="R149" s="11">
        <v>0.43845662312931977</v>
      </c>
      <c r="S149" s="3">
        <f t="shared" si="25"/>
        <v>0.24719804987984262</v>
      </c>
      <c r="T149">
        <f t="shared" si="26"/>
        <v>-9.0581778522391687E-8</v>
      </c>
      <c r="U149" s="11">
        <v>0.43237382994432844</v>
      </c>
    </row>
    <row r="150" spans="6:21" x14ac:dyDescent="0.35">
      <c r="F150" s="2">
        <v>995</v>
      </c>
      <c r="G150">
        <f t="shared" si="18"/>
        <v>5.2203567681007348</v>
      </c>
      <c r="I150" s="5">
        <f t="shared" si="19"/>
        <v>0.41362149999999998</v>
      </c>
      <c r="K150">
        <f t="shared" si="20"/>
        <v>-1.7170674482258619E-7</v>
      </c>
      <c r="L150" s="12">
        <v>0.43272505748624512</v>
      </c>
      <c r="M150" s="3">
        <f t="shared" si="21"/>
        <v>1.0215700027319259</v>
      </c>
      <c r="N150">
        <f t="shared" si="22"/>
        <v>-3.6726751773130673E-7</v>
      </c>
      <c r="O150" s="11">
        <v>0.43320393151352049</v>
      </c>
      <c r="P150" s="3">
        <f t="shared" si="23"/>
        <v>0.12451682181561134</v>
      </c>
      <c r="Q150">
        <f t="shared" si="24"/>
        <v>-3.4542555908956274E-6</v>
      </c>
      <c r="R150" s="11">
        <v>0.44059489100971017</v>
      </c>
      <c r="S150" s="3">
        <f t="shared" si="25"/>
        <v>0.24495628358405808</v>
      </c>
      <c r="T150">
        <f t="shared" si="26"/>
        <v>-8.713271881788387E-8</v>
      </c>
      <c r="U150" s="11">
        <v>0.43453095097938416</v>
      </c>
    </row>
    <row r="151" spans="6:21" x14ac:dyDescent="0.35">
      <c r="F151" s="2">
        <v>1000</v>
      </c>
      <c r="G151">
        <f t="shared" si="18"/>
        <v>5.2465897166841557</v>
      </c>
      <c r="I151" s="5">
        <f t="shared" si="19"/>
        <v>0.41570000000000001</v>
      </c>
      <c r="K151">
        <f t="shared" si="20"/>
        <v>-3.4681290799198905E-6</v>
      </c>
      <c r="L151" s="12">
        <v>0.43491076624417491</v>
      </c>
      <c r="M151" s="3">
        <f t="shared" si="21"/>
        <v>1.019012877312794</v>
      </c>
      <c r="N151">
        <f t="shared" si="22"/>
        <v>-6.9411080403369851E-6</v>
      </c>
      <c r="O151" s="11">
        <v>0.43535172927154947</v>
      </c>
      <c r="P151" s="3">
        <f t="shared" si="23"/>
        <v>0.1224870897420271</v>
      </c>
      <c r="Q151">
        <f t="shared" si="24"/>
        <v>-3.3820866747191758E-6</v>
      </c>
      <c r="R151" s="11">
        <v>0.44273215245741482</v>
      </c>
      <c r="S151" s="3">
        <f t="shared" si="25"/>
        <v>0.24273031573519652</v>
      </c>
      <c r="T151">
        <f t="shared" si="26"/>
        <v>2.8456414895572379E-6</v>
      </c>
      <c r="U151" s="11">
        <v>0.43668703203211101</v>
      </c>
    </row>
  </sheetData>
  <mergeCells count="9">
    <mergeCell ref="A28:C28"/>
    <mergeCell ref="A37:C37"/>
    <mergeCell ref="I8:U8"/>
    <mergeCell ref="M9:O9"/>
    <mergeCell ref="J9:L9"/>
    <mergeCell ref="P9:R9"/>
    <mergeCell ref="S9:U9"/>
    <mergeCell ref="A10:C10"/>
    <mergeCell ref="A19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081C3-AB8D-4E8D-AC70-EB6C7EDD4B25}">
  <dimension ref="A1"/>
  <sheetViews>
    <sheetView tabSelected="1" topLeftCell="A100" workbookViewId="0">
      <selection activeCell="O23" sqref="O23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69E45A62D5B7459DBFFA8232EBF894" ma:contentTypeVersion="10" ma:contentTypeDescription="Create a new document." ma:contentTypeScope="" ma:versionID="95b92b34a394c198fd7f8c00503417bf">
  <xsd:schema xmlns:xsd="http://www.w3.org/2001/XMLSchema" xmlns:xs="http://www.w3.org/2001/XMLSchema" xmlns:p="http://schemas.microsoft.com/office/2006/metadata/properties" xmlns:ns3="0c511fbd-96c6-4db7-861d-163d8dbbdfa9" targetNamespace="http://schemas.microsoft.com/office/2006/metadata/properties" ma:root="true" ma:fieldsID="32cf1609781f1a9dd8b030cb397ff581" ns3:_="">
    <xsd:import namespace="0c511fbd-96c6-4db7-861d-163d8dbbdfa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511fbd-96c6-4db7-861d-163d8dbbdf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511fbd-96c6-4db7-861d-163d8dbbdfa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9E4D2E-8AF7-4C5A-99F7-C04754C337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511fbd-96c6-4db7-861d-163d8dbbdf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6AB69-1ED9-454B-9AC6-C6F8E65BE0E9}">
  <ds:schemaRefs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0c511fbd-96c6-4db7-861d-163d8dbbdfa9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F6AD431-5213-4F35-9C58-285077A995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Graphs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Reagan Baggett</dc:creator>
  <cp:keywords/>
  <dc:description/>
  <cp:lastModifiedBy>Meghan Wallace</cp:lastModifiedBy>
  <cp:revision/>
  <dcterms:created xsi:type="dcterms:W3CDTF">2025-11-02T19:07:28Z</dcterms:created>
  <dcterms:modified xsi:type="dcterms:W3CDTF">2025-11-14T17:56:39Z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0x0101009E69E45A62D5B7459DBFFA8232EBF894</vt:lpwstr>
  </property>
</Properties>
</file>